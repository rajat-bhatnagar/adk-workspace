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0"/>
  <workbookPr/>
  <mc:AlternateContent xmlns:mc="http://schemas.openxmlformats.org/markup-compatibility/2006">
    <mc:Choice Requires="x15">
      <x15ac:absPath xmlns:x15ac="http://schemas.microsoft.com/office/spreadsheetml/2010/11/ac" url="/Users/rajatbhatnagar/repos/adk-workspace/docs/"/>
    </mc:Choice>
  </mc:AlternateContent>
  <xr:revisionPtr revIDLastSave="0" documentId="8_{F3F3F80C-0371-BE42-87B6-7B76787E51D9}" xr6:coauthVersionLast="47" xr6:coauthVersionMax="47" xr10:uidLastSave="{00000000-0000-0000-0000-000000000000}"/>
  <bookViews>
    <workbookView xWindow="0" yWindow="680" windowWidth="30240" windowHeight="17900" xr2:uid="{00000000-000D-0000-FFFF-FFFF00000000}"/>
  </bookViews>
  <sheets>
    <sheet name="Master Plan" sheetId="9" r:id="rId1"/>
    <sheet name="Dashboard" sheetId="1" r:id="rId2"/>
    <sheet name="Roadmap" sheetId="2" r:id="rId3"/>
    <sheet name="Hands-On Labs" sheetId="3" r:id="rId4"/>
    <sheet name="Platform Library" sheetId="4" r:id="rId5"/>
    <sheet name="20-Week Plan" sheetId="5" r:id="rId6"/>
    <sheet name="CS + Interview Track" sheetId="6" r:id="rId7"/>
    <sheet name="Stanford Research Track" sheetId="7" r:id="rId8"/>
    <sheet name="Data + RAG Track" sheetId="8" r:id="rId9"/>
    <sheet name="Competency Matrix" sheetId="10" r:id="rId10"/>
    <sheet name="Revision" sheetId="11" r:id="rId11"/>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09" i="11" l="1"/>
  <c r="C108" i="11"/>
  <c r="C107" i="11"/>
  <c r="C106" i="11"/>
  <c r="C105" i="11"/>
  <c r="C104" i="11"/>
  <c r="C103" i="11"/>
  <c r="C102" i="11"/>
  <c r="C101" i="11"/>
  <c r="C100" i="11"/>
  <c r="B32" i="10"/>
  <c r="B31" i="10"/>
  <c r="O26" i="10"/>
  <c r="E26" i="10"/>
  <c r="O25" i="10"/>
  <c r="E25" i="10"/>
  <c r="O24" i="10"/>
  <c r="E24" i="10"/>
  <c r="O23" i="10"/>
  <c r="E23" i="10"/>
  <c r="O22" i="10"/>
  <c r="E22" i="10"/>
  <c r="O21" i="10"/>
  <c r="E21" i="10"/>
  <c r="O20" i="10"/>
  <c r="E20" i="10"/>
  <c r="O19" i="10"/>
  <c r="E19" i="10"/>
  <c r="O18" i="10"/>
  <c r="E18" i="10"/>
  <c r="O17" i="10"/>
  <c r="E17" i="10"/>
  <c r="O16" i="10"/>
  <c r="E16" i="10"/>
  <c r="O15" i="10"/>
  <c r="E15" i="10"/>
  <c r="O14" i="10"/>
  <c r="E14" i="10"/>
  <c r="O13" i="10"/>
  <c r="E13" i="10"/>
  <c r="O12" i="10"/>
  <c r="E12" i="10"/>
  <c r="O11" i="10"/>
  <c r="E11" i="10"/>
  <c r="O10" i="10"/>
  <c r="E10" i="10"/>
  <c r="O9" i="10"/>
  <c r="E9" i="10"/>
  <c r="O8" i="10"/>
  <c r="E8" i="10"/>
  <c r="O7" i="10"/>
  <c r="J7" i="10"/>
  <c r="E7" i="10"/>
  <c r="O6" i="10"/>
  <c r="E6" i="10"/>
  <c r="O5" i="10"/>
  <c r="E5" i="10"/>
  <c r="O4" i="10"/>
  <c r="E4" i="10"/>
  <c r="O3" i="10"/>
  <c r="H7" i="1" s="1"/>
  <c r="E3" i="10"/>
  <c r="H6" i="1" s="1"/>
  <c r="O2" i="10"/>
  <c r="J2" i="10"/>
  <c r="E2" i="10"/>
  <c r="B30" i="10" s="1"/>
  <c r="B25" i="1"/>
  <c r="B23" i="1"/>
  <c r="B22" i="1"/>
  <c r="B21" i="1"/>
  <c r="B20" i="1"/>
  <c r="B19" i="1"/>
  <c r="B18" i="1"/>
  <c r="B17" i="1"/>
  <c r="E16" i="1"/>
  <c r="B16" i="1"/>
  <c r="E15" i="1"/>
  <c r="B15" i="1"/>
  <c r="E14" i="1"/>
  <c r="B14" i="1"/>
  <c r="E13" i="1"/>
  <c r="B13" i="1"/>
  <c r="G10" i="1"/>
  <c r="E9" i="1"/>
  <c r="B9" i="1"/>
  <c r="E8" i="1"/>
  <c r="B8" i="1"/>
  <c r="E7" i="1"/>
  <c r="B7" i="1"/>
  <c r="E6" i="1"/>
  <c r="B6" i="1"/>
  <c r="R2" i="9"/>
  <c r="R1" i="9"/>
</calcChain>
</file>

<file path=xl/sharedStrings.xml><?xml version="1.0" encoding="utf-8"?>
<sst xmlns="http://schemas.openxmlformats.org/spreadsheetml/2006/main" count="3440" uniqueCount="1403">
  <si>
    <t>Master Order</t>
  </si>
  <si>
    <t>Phase / Timing</t>
  </si>
  <si>
    <t>Lane</t>
  </si>
  <si>
    <t>Resource / Activity</t>
  </si>
  <si>
    <t>Provider</t>
  </si>
  <si>
    <t>Priority</t>
  </si>
  <si>
    <t>Effort (h)</t>
  </si>
  <si>
    <t>What to Do</t>
  </si>
  <si>
    <t>Proof / Deliverable</t>
  </si>
  <si>
    <t>Source Sheet</t>
  </si>
  <si>
    <t>Detail</t>
  </si>
  <si>
    <t>External Link</t>
  </si>
  <si>
    <t>Status</t>
  </si>
  <si>
    <t>Notes</t>
  </si>
  <si>
    <t>Target Start</t>
  </si>
  <si>
    <t>Target Finish</t>
  </si>
  <si>
    <t>Week 1 — Agent fundamentals</t>
  </si>
  <si>
    <t>CORE — Agent Engineering</t>
  </si>
  <si>
    <t>Build Agents with Agent Development Kit (ADK)</t>
  </si>
  <si>
    <t>Google Skills / GEAR</t>
  </si>
  <si>
    <t>VERY HIGH</t>
  </si>
  <si>
    <t>Understand ADK's code-first agent model and core abstractions.</t>
  </si>
  <si>
    <t>Sketch an agent loop and map ADK Agent/Tool/Session concepts onto it.</t>
  </si>
  <si>
    <t>Roadmap</t>
  </si>
  <si>
    <t>Go to detail</t>
  </si>
  <si>
    <t>Open resource</t>
  </si>
  <si>
    <t>Not Started</t>
  </si>
  <si>
    <t>1-page architecture note: 'What ADK abstracts vs what it does not'.</t>
  </si>
  <si>
    <t>Week 1 — First ADK agent</t>
  </si>
  <si>
    <t>Build Your First Agent with ADK</t>
  </si>
  <si>
    <t>Create, configure, and run ADK agents in Python/YAML.</t>
  </si>
  <si>
    <t>Build the lab, close instructions, then recreate from memory with one custom behavior.</t>
  </si>
  <si>
    <t>Repo: first-adk-agent + README + run instructions.</t>
  </si>
  <si>
    <t>Week 1 — ADK foundations</t>
  </si>
  <si>
    <t>Building AI Agents with ADK: The Foundation</t>
  </si>
  <si>
    <t>Google Codelabs</t>
  </si>
  <si>
    <t>Set up ADK and build a foundational conversational agent.</t>
  </si>
  <si>
    <t>Complete codelab, then add structured output and one failure test.</t>
  </si>
  <si>
    <t>Commit tagged foundation-v1 with tests.</t>
  </si>
  <si>
    <t>Week 1 — ADK mental model</t>
  </si>
  <si>
    <t>Introducing Agent Development Kit</t>
  </si>
  <si>
    <t>YouTube — Google for Developers</t>
  </si>
  <si>
    <t>HIGH</t>
  </si>
  <si>
    <t>Understand ADK design goals: model/deployment agnosticism, multi-agent, debugging.</t>
  </si>
  <si>
    <t>Take notes only on architectural primitives; compare with your own agent loop.</t>
  </si>
  <si>
    <t>Architecture comparison notes.</t>
  </si>
  <si>
    <t>From Week 1 — 3–5 problems/week in parallel</t>
  </si>
  <si>
    <t>PARALLEL — CS / Interview</t>
  </si>
  <si>
    <t>LeetCode 75</t>
  </si>
  <si>
    <t>LeetCode</t>
  </si>
  <si>
    <t>Complete if rusty; otherwise use as diagnostic and focus on weak patterns.</t>
  </si>
  <si>
    <t>Solve without hints; after each problem record pattern, complexity, edge cases, and one alternate solution.</t>
  </si>
  <si>
    <t>CS + Interview Track</t>
  </si>
  <si>
    <t>Google-style engineering interviews still require fast, correct algorithmic reasoning.</t>
  </si>
  <si>
    <t>From Week 1 — Parallel refresh</t>
  </si>
  <si>
    <t>MIT 6.006 — Introduction to Algorithms</t>
  </si>
  <si>
    <t>MIT OpenCourseWare</t>
  </si>
  <si>
    <t>Selective refresh: hashing, graphs, shortest paths, dynamic programming, complexity; do problem sets for weak areas.</t>
  </si>
  <si>
    <t>Complete 2–3 MIT problem sets from your weakest topics without solutions, then compare.</t>
  </si>
  <si>
    <t>Deepens the reasoning behind interview patterns rather than memorizing LeetCode templates.</t>
  </si>
  <si>
    <t>From Week 1 — Selective</t>
  </si>
  <si>
    <t>MIT 6.034 — Artificial Intelligence</t>
  </si>
  <si>
    <t>MEDIUM</t>
  </si>
  <si>
    <t>Select search, planning, constraints and probabilistic reasoning; skip material duplicated by stronger modern sources.</t>
  </si>
  <si>
    <t>Implement A*/minimax or a constraint solver and explicitly compare its deterministic search with LLM planning.</t>
  </si>
  <si>
    <t>Gives historical/algorithmic grounding for planning and search techniques that reappear in modern agents.</t>
  </si>
  <si>
    <t>From Week 1 — Selective / project-driven</t>
  </si>
  <si>
    <t>CS50's Introduction to Artificial Intelligence with Python</t>
  </si>
  <si>
    <t>Harvard / edX</t>
  </si>
  <si>
    <t>Selective completion recommended for an experienced engineer: search, uncertainty, optimization, learning and language projects.</t>
  </si>
  <si>
    <t>Complete at least 3 projects from topics where your intuition is weakest; explain algorithmic choices and failure cases.</t>
  </si>
  <si>
    <t>Hands-on classical AI and ML fundamentals with real Python projects; good gap detector before deeper research material.</t>
  </si>
  <si>
    <t>Week 2 — ADK deep foundation</t>
  </si>
  <si>
    <t>ADK Training Modules 1–7</t>
  </si>
  <si>
    <t>Maurizio Ipsale</t>
  </si>
  <si>
    <t>Environment, LlmAgent, programmatic runs, model portability, multimodal.</t>
  </si>
  <si>
    <t>Run every module; rebuild modules 3, 4.5 and 6 without copying.</t>
  </si>
  <si>
    <t>Annotated repo fork/branch + lessons.md.</t>
  </si>
  <si>
    <t>Week 2 — Tools</t>
  </si>
  <si>
    <t>Building AI Agents with ADK: Empowering with Tools</t>
  </si>
  <si>
    <t>Function tools, built-in search, third-party tools, sub-agents.</t>
  </si>
  <si>
    <t>Add 3 tools to one agent; write schema/argument edge-case tests.</t>
  </si>
  <si>
    <t>Tool contract tests + failure matrix.</t>
  </si>
  <si>
    <t>Week 3 — Tools &amp; grounding</t>
  </si>
  <si>
    <t>ADK Training Modules 8–14</t>
  </si>
  <si>
    <t>Custom tools, ToolContext, OpenAPI, grounding, HITL, persistence, third-party tools.</t>
  </si>
  <si>
    <t>Build an agent with stateful tool calls, OpenAPI integration, and an approval gate.</t>
  </si>
  <si>
    <t>Repo: tool-rich-agent + test suite.</t>
  </si>
  <si>
    <t>Week 3 — Tool engineering</t>
  </si>
  <si>
    <t>Writing effective tools for agents — with agents</t>
  </si>
  <si>
    <t>Anthropic Engineering</t>
  </si>
  <si>
    <t>Design tool interfaces that agents can select and use reliably.</t>
  </si>
  <si>
    <t>Take one existing tool API; redesign name, description, schema, and output for agent use. A/B eval it.</t>
  </si>
  <si>
    <t>Before/after tool eval report.</t>
  </si>
  <si>
    <t>Week 3 — Agent patterns</t>
  </si>
  <si>
    <t>Building more effective AI agents</t>
  </si>
  <si>
    <t>YouTube — Anthropic</t>
  </si>
  <si>
    <t>Learn simple agent patterns, subagents, skills, MCP and common failure modes.</t>
  </si>
  <si>
    <t>Implement one pattern without a framework: routing or parallel subagents.</t>
  </si>
  <si>
    <t>Small pure-Python pattern repo.</t>
  </si>
  <si>
    <t>Weeks 3–5</t>
  </si>
  <si>
    <t>PARALLEL — Data / RAG / Graph</t>
  </si>
  <si>
    <t>Vector Search and Embeddings</t>
  </si>
  <si>
    <t>Learn embeddings, semantic search, hybrid retrieval and grounded RAG before adding agent orchestration.</t>
  </si>
  <si>
    <t>Build a small corpus; compare keyword, vector and hybrid retrieval on a labeled query set.</t>
  </si>
  <si>
    <t>Data + RAG Track</t>
  </si>
  <si>
    <t>Retrieval benchmark with Recall@K / MRR + failure notes</t>
  </si>
  <si>
    <t>From Week 3 — 2–3 h/week</t>
  </si>
  <si>
    <t>Grokking Modern System Design Interview</t>
  </si>
  <si>
    <t>Educative</t>
  </si>
  <si>
    <t>Prioritize distributed-system fundamentals + 8–10 case studies + mock interviews.</t>
  </si>
  <si>
    <t>Do one 45-minute design from a blank page weekly; record requirements, estimates, API/data model, failure modes and tradeoffs.</t>
  </si>
  <si>
    <t>Senior Google/Anthropic roles require architecture tradeoffs, reliability, consistency, capacity, queues, caches and failure handling.</t>
  </si>
  <si>
    <t>Week 4 — MCP fundamentals</t>
  </si>
  <si>
    <t>Model Context Protocol (MCP): Hands-On with Agentic AI</t>
  </si>
  <si>
    <t>LinkedIn Learning</t>
  </si>
  <si>
    <t>Use MCP clients/servers and build Python/TypeScript MCP servers.</t>
  </si>
  <si>
    <t>Build a small MCP server, inspect it, then connect it from Claude and one other client.</t>
  </si>
  <si>
    <t>Repo: mcp-server-lab.</t>
  </si>
  <si>
    <t>Week 4 — MCP in ADK</t>
  </si>
  <si>
    <t>ADK Training Modules 27–28</t>
  </si>
  <si>
    <t>Build and consume MCP tools with ADK.</t>
  </si>
  <si>
    <t>Expose one internal service through MCP; add auth/error handling.</t>
  </si>
  <si>
    <t>Production-style MCP service skeleton.</t>
  </si>
  <si>
    <t>Week 4 — MCP + ADK + A2A</t>
  </si>
  <si>
    <t>Getting Started with MCP, ADK and A2A</t>
  </si>
  <si>
    <t>Build MCP server, deploy to Cloud Run, use with ADK, expose agent via A2A.</t>
  </si>
  <si>
    <t>Complete lab, then replace currency tool with your own business domain.</t>
  </si>
  <si>
    <t>Cross-protocol architecture diagram + runnable repo.</t>
  </si>
  <si>
    <t>Weeks 4–6</t>
  </si>
  <si>
    <t>Building Agents with Retrieval-Augmented Generation</t>
  </si>
  <si>
    <t>Connect retrieval and structured tools to an ADK agent so the model decides when and how to retrieve.</t>
  </si>
  <si>
    <t>Complete the financial-analysis lab, then replace one data source with your own corpus/API.</t>
  </si>
  <si>
    <t>Agentic-RAG repo + eval set</t>
  </si>
  <si>
    <t>Week 5 — MCP efficiency</t>
  </si>
  <si>
    <t>Code execution with MCP: Building more efficient agents</t>
  </si>
  <si>
    <t>Understand context cost of tool definitions/results and code-mediated tool use.</t>
  </si>
  <si>
    <t>Benchmark direct tool calls vs code execution across 20 tasks: tokens, latency, success.</t>
  </si>
  <si>
    <t>Benchmark notebook/report.</t>
  </si>
  <si>
    <t>Week 5 — MCP deeper dive</t>
  </si>
  <si>
    <t>Introduction to Model Context Protocol by Anthropic</t>
  </si>
  <si>
    <t>Build MCP servers/clients with tools, resources and prompts.</t>
  </si>
  <si>
    <t>Implement document-management MCP project; add one resource and one prompt primitive.</t>
  </si>
  <si>
    <t>MCP primitives reference implementation.</t>
  </si>
  <si>
    <t>Week 5 — Multi-agent fundamentals</t>
  </si>
  <si>
    <t>ADK Training Modules 15–21.5</t>
  </si>
  <si>
    <t>Static/dynamic orchestration, routing, collaboration, cycles, distributed graphs.</t>
  </si>
  <si>
    <t>Recreate 3 orchestration patterns from memory and compare failure modes.</t>
  </si>
  <si>
    <t>Patterns repo + decision matrix.</t>
  </si>
  <si>
    <t>Weeks 5–7</t>
  </si>
  <si>
    <t>Vertex AI RAG Engine quickstart</t>
  </si>
  <si>
    <t>Google Cloud</t>
  </si>
  <si>
    <t>Understand production corpus ingestion, managed retrieval, metadata and retrieval APIs.</t>
  </si>
  <si>
    <t>Create a RAG corpus, ingest documents, retrieve contexts, and instrument latency/cost.</t>
  </si>
  <si>
    <t>RAG Engine notebook + architecture note</t>
  </si>
  <si>
    <t>Reranking for Vertex AI RAG Engine</t>
  </si>
  <si>
    <t>Retrieval quality often dominates answer quality; reranking is a core production technique.</t>
  </si>
  <si>
    <t>Compare baseline top-K retrieval vs reranked retrieval on at least 30 labeled queries.</t>
  </si>
  <si>
    <t>Before/after retrieval metrics + cost/latency</t>
  </si>
  <si>
    <t>From Week 5 — 1 topic/week</t>
  </si>
  <si>
    <t>MIT 6.824 — Distributed Computer Systems Engineering</t>
  </si>
  <si>
    <t>Selective deep study: fault tolerance, replication, consistency, distributed storage, naming and failure recovery.</t>
  </si>
  <si>
    <t>Write design notes applying replication/consistency/failure concepts to an agent runtime, tool service and memory service.</t>
  </si>
  <si>
    <t>Agent platforms are distributed systems with stochastic components; these concepts remain foundational even though this OCW edition is older.</t>
  </si>
  <si>
    <t>Week 6 — Distributed multi-agent</t>
  </si>
  <si>
    <t>Architect Multi-Agent Systems with ADK</t>
  </si>
  <si>
    <t>Collaborative workflows, shared state, distributed communication and deployment.</t>
  </si>
  <si>
    <t>Build a supervisor + 3 specialists with explicit shared-state rules.</t>
  </si>
  <si>
    <t>System diagram + orchestration tests.</t>
  </si>
  <si>
    <t>Week 6 — A2A</t>
  </si>
  <si>
    <t>Multi-Agent Systems with Agent2Agent</t>
  </si>
  <si>
    <t>Agent Cards, A2A servers, remote connections and host orchestration.</t>
  </si>
  <si>
    <t>Complete lab; add versioned Agent Card and simulated remote failure.</t>
  </si>
  <si>
    <t>A2A contract test suite.</t>
  </si>
  <si>
    <t>Week 6 — MCP + A2A cross-vendor</t>
  </si>
  <si>
    <t>Hands-On AI: MCP and Agent2Agent (A2A)</t>
  </si>
  <si>
    <t>MCP server/client and multi-agent A2A design/implementation.</t>
  </si>
  <si>
    <t>Implement HR-style example using a different domain and at least 2 independent processes.</t>
  </si>
  <si>
    <t>Interoperability demo.</t>
  </si>
  <si>
    <t>Weeks 6–9</t>
  </si>
  <si>
    <t>Build a RAG evaluation harness</t>
  </si>
  <si>
    <t>Self-directed</t>
  </si>
  <si>
    <t>A RAG system needs separate retrieval and generation metrics; end-answer quality alone hides failure causes.</t>
  </si>
  <si>
    <t>Measure Recall@K/MRR/nDCG, context precision, groundedness, answer relevance and citation correctness.</t>
  </si>
  <si>
    <t>Reusable rag-evals package</t>
  </si>
  <si>
    <t>Week 7 — Production multi-agent</t>
  </si>
  <si>
    <t>Build a Multi-Agent Creative Studio with ADK, A2A, MCP</t>
  </si>
  <si>
    <t>Distributed agents on Cloud Run, Agent Runtime, MCP, Skills, quality-control loop, context compaction.</t>
  </si>
  <si>
    <t>Complete lab; replace creative domain with architecture-review workflow.</t>
  </si>
  <si>
    <t>Deployed multi-agent portfolio project v1.</t>
  </si>
  <si>
    <t>Week 7 — Multi-agent production lessons</t>
  </si>
  <si>
    <t>How we built our multi-agent research system</t>
  </si>
  <si>
    <t>Learn orchestrator-worker architecture, parallel exploration, eval and reliability lessons.</t>
  </si>
  <si>
    <t>Clone the pattern for a research task and compare single-agent vs multi-agent cost/quality.</t>
  </si>
  <si>
    <t>Experiment report with metrics.</t>
  </si>
  <si>
    <t>Weeks 7–9</t>
  </si>
  <si>
    <t>Getting started with Spanner Graph</t>
  </si>
  <si>
    <t>Learn property graphs, nodes/edges, ISO GQL pattern matching, traversal, and relational/graph interoperability.</t>
  </si>
  <si>
    <t>Complete the codelab, then model one domain from your capstone as nodes/edges and write 8 GQL queries.</t>
  </si>
  <si>
    <t>Graph schema + GQL query pack</t>
  </si>
  <si>
    <t>Week 8 — State &amp; memory</t>
  </si>
  <si>
    <t>ADK Training Modules 22–23</t>
  </si>
  <si>
    <t>State, memory and artifacts for production agents.</t>
  </si>
  <si>
    <t>Implement session state + cross-session memory + artifact store; document retention rules.</t>
  </si>
  <si>
    <t>State/memory design doc + tests.</t>
  </si>
  <si>
    <t>Week 8 — Context engineering</t>
  </si>
  <si>
    <t>Effective context engineering for AI agents</t>
  </si>
  <si>
    <t>Treat context as a finite resource; decide what enters, persists, and is retrieved.</t>
  </si>
  <si>
    <t>Instrument context size; implement compaction/retrieval policy and compare outcomes.</t>
  </si>
  <si>
    <t>Context-budget benchmark.</t>
  </si>
  <si>
    <t>Weeks 8–11</t>
  </si>
  <si>
    <t>GraphRAG infrastructure using Agent Platform and Spanner Graph</t>
  </si>
  <si>
    <t>Google Cloud Architecture Center</t>
  </si>
  <si>
    <t>GraphRAG combines vector retrieval with graph traversal for relationship-aware, multi-hop context.</t>
  </si>
  <si>
    <t>Design ingestion + serving architecture; explicitly decide what belongs in vectors, relational columns and graph edges.</t>
  </si>
  <si>
    <t>Architecture diagram + ADR</t>
  </si>
  <si>
    <t>From Week 8 — 1 design every 1–2 weeks</t>
  </si>
  <si>
    <t>Grokking the Machine Learning System Design Interview</t>
  </si>
  <si>
    <t>Complete the framework plus LLM/semantic-search/evaluation-related cases; selectively skim familiar ML basics.</t>
  </si>
  <si>
    <t>Design an LLM/agent platform under explicit latency, cost, eval, safety and rollout constraints.</t>
  </si>
  <si>
    <t>Bridges model quality, data, serving, experimentation and production architecture—the exact interface AI architects need.</t>
  </si>
  <si>
    <t>Week 9 — Evaluation</t>
  </si>
  <si>
    <t>ADK Training Module 24 — Evaluation</t>
  </si>
  <si>
    <t>Create reproducible agent evaluations.</t>
  </si>
  <si>
    <t>Create 30-task golden set; measure task success, tool choice and argument correctness.</t>
  </si>
  <si>
    <t>evals/ directory in main project.</t>
  </si>
  <si>
    <t>Week 9 — Agent evals</t>
  </si>
  <si>
    <t>AI Evaluations: Foundations and Practical Examples</t>
  </si>
  <si>
    <t>Build practical AI/agent evaluation methods.</t>
  </si>
  <si>
    <t>Add deterministic + LLM-judge graders; manually audit a sample of judge decisions.</t>
  </si>
  <si>
    <t>Evaluator calibration report.</t>
  </si>
  <si>
    <t>Week 9 — Agent eval methodology</t>
  </si>
  <si>
    <t>Demystifying evals for AI agents</t>
  </si>
  <si>
    <t>Design multi-turn agent evals that grade outcomes and trajectories.</t>
  </si>
  <si>
    <t>Expand golden set to 100 tasks split easy/medium/hard/adversarial.</t>
  </si>
  <si>
    <t>Public benchmark README + failure taxonomy.</t>
  </si>
  <si>
    <t>Weeks 9–12</t>
  </si>
  <si>
    <t>Build GraphRAG with Spanner Graph and LangChain</t>
  </si>
  <si>
    <t>See a practical knowledge-graph construction and retrieval flow using vector and graph queries together.</t>
  </si>
  <si>
    <t>Implement a miniature GraphRAG corpus and compare answers against vector-only RAG.</t>
  </si>
  <si>
    <t>RAG vs GraphRAG benchmark</t>
  </si>
  <si>
    <t>Week 10 — Observability &amp; callbacks</t>
  </si>
  <si>
    <t>ADK Training Modules 25–26</t>
  </si>
  <si>
    <t>Observe agent behavior and intercept lifecycle events.</t>
  </si>
  <si>
    <t>Capture trace spans, tool latency, tokens, retries and errors; create incident walkthrough.</t>
  </si>
  <si>
    <t>Trace screenshots + debugging playbook.</t>
  </si>
  <si>
    <t>Week 10 — Governance</t>
  </si>
  <si>
    <t>Governing AI Agents: Visibility and Control</t>
  </si>
  <si>
    <t>Production observability, guardrails and action logging.</t>
  </si>
  <si>
    <t>Add policy checks, action audit log and privileged-tool approval.</t>
  </si>
  <si>
    <t>Governance controls checklist.</t>
  </si>
  <si>
    <t>Week 10 — Failure recovery</t>
  </si>
  <si>
    <t>Operating AI Agents: Failure and Recovery</t>
  </si>
  <si>
    <t>Detect, diagnose and recover from agent failures.</t>
  </si>
  <si>
    <t>Inject timeouts, malformed tool returns, auth errors and partial failures; implement recovery.</t>
  </si>
  <si>
    <t>Chaos/failure test report.</t>
  </si>
  <si>
    <t>Week 10 — Integrated agent engineering review</t>
  </si>
  <si>
    <t>5-Day AI Agents Intensive Course with Google</t>
  </si>
  <si>
    <t>Kaggle + Google</t>
  </si>
  <si>
    <t>Consolidate agents, tools, orchestration, memory/context, evals/observability, A2A and production using Google-authored notebooks.</t>
  </si>
  <si>
    <t>Complete the required notebooks across all five units; then rebuild one notebook locally without Kaggle scaffolding and add your own eval cases.</t>
  </si>
  <si>
    <t>Kaggle notebooks + local reproduction repo + synthesis notes.</t>
  </si>
  <si>
    <t>Weeks 10–16</t>
  </si>
  <si>
    <t>Spanner: Google's Globally-Distributed Database</t>
  </si>
  <si>
    <t>Google Research</t>
  </si>
  <si>
    <t>Build first-principles intuition for sharding, synchronous replication, external consistency, MVCC and TrueTime.</t>
  </si>
  <si>
    <t>Write a 2-page systems note mapping Spanner guarantees to agent state, memory, tool transactions and multi-region services.</t>
  </si>
  <si>
    <t>Systems-design note</t>
  </si>
  <si>
    <t>TrueTime and external consistency</t>
  </si>
  <si>
    <t>Strong consistency and transaction ordering become important when autonomous agents mutate shared state.</t>
  </si>
  <si>
    <t>Design a shared-agent-state scenario; identify anomalies under weaker consistency and how external consistency changes the design.</t>
  </si>
  <si>
    <t>Consistency failure analysis</t>
  </si>
  <si>
    <t>From Week 10 — Selective / 2–4 problems/week</t>
  </si>
  <si>
    <t>Top Interview 150</t>
  </si>
  <si>
    <t>Use after LeetCode 75 or selectively for weak topics; do not blindly grind all 150 if already strong.</t>
  </si>
  <si>
    <t>Weekly 45-minute mock block: 2 problems, explain before coding, test manually, then optimize.</t>
  </si>
  <si>
    <t>Broader interview coverage and sustained timed practice.</t>
  </si>
  <si>
    <t>Week 11 — Enterprise governance</t>
  </si>
  <si>
    <t>Deploy an Enterprise Governance-Aware Agent with MCP and Cloud Run</t>
  </si>
  <si>
    <t>Managed MCP, governance skills, IAM and Cloud Run deployment.</t>
  </si>
  <si>
    <t>Complete lab; remove unauthenticated access and design least-privilege IAM.</t>
  </si>
  <si>
    <t>Security review + deployment diagram.</t>
  </si>
  <si>
    <t>Week 11 — Containment</t>
  </si>
  <si>
    <t>How we contain Claude across products</t>
  </si>
  <si>
    <t>Understand blast-radius reduction, sandboxing, egress and filesystem boundaries.</t>
  </si>
  <si>
    <t>Threat-model your capstone; implement sandbox/network/file constraints where feasible.</t>
  </si>
  <si>
    <t>Threat model + red-team cases.</t>
  </si>
  <si>
    <t>Week 12 — Production deployment</t>
  </si>
  <si>
    <t>Deploy Production Ready Agents</t>
  </si>
  <si>
    <t>Agent lifecycle, Agent Engine/Cloud Run, MCP and A2A production connectivity.</t>
  </si>
  <si>
    <t>Complete challenge lab; write runbook for deploy/rollback/observe.</t>
  </si>
  <si>
    <t>Production runbook + badge.</t>
  </si>
  <si>
    <t>Week 12 — Cloud deployment</t>
  </si>
  <si>
    <t>ADK Training Modules 31–36</t>
  </si>
  <si>
    <t>Cloud Run, GKE, MCP server deployment, Agent Runtime, Gemini Enterprise.</t>
  </si>
  <si>
    <t>Deploy same agent to Cloud Run and GKE; compare ops/cost/latency tradeoffs.</t>
  </si>
  <si>
    <t>Deployment comparison doc.</t>
  </si>
  <si>
    <t>Weeks 12–16</t>
  </si>
  <si>
    <t>Spanner Graph algorithms overview</t>
  </si>
  <si>
    <t>Centrality, clustering, similarity and path finding matter for entity resolution, recommendation, fraud and graph-assisted retrieval.</t>
  </si>
  <si>
    <t>Run at least two graph algorithms and show when algorithmic graph signals improve retrieval or ranking.</t>
  </si>
  <si>
    <t>Graph-algorithm experiment</t>
  </si>
  <si>
    <t>From Week 12 — Selective / ~6 h total</t>
  </si>
  <si>
    <t>Agentic System Design</t>
  </si>
  <si>
    <t>Use as interview-oriented reinforcement, not as the primary agent course.</t>
  </si>
  <si>
    <t>Turn 5 scenarios into architecture decision records: agent vs workflow, single vs multi-agent, tool boundary, memory, eval and fallback.</t>
  </si>
  <si>
    <t>Useful for practicing how to explain agent components, orchestration, guardrails and human oversight under interview constraints.</t>
  </si>
  <si>
    <t>From Week 12 — Optional depth</t>
  </si>
  <si>
    <t>MIT 6.172 — Performance Engineering of Software Systems</t>
  </si>
  <si>
    <t>Selective: profiling, caches, parallelism, synchronization, measurement; prioritize if targeting AI systems/infra roles.</t>
  </si>
  <si>
    <t>Profile one agent service end-to-end and make a measured performance improvement with before/after evidence.</t>
  </si>
  <si>
    <t>Frontier AI engineering increasingly rewards engineers who can reason about latency, throughput, parallelism and compute efficiency.</t>
  </si>
  <si>
    <t>Week 13 — Google managed MCP</t>
  </si>
  <si>
    <t>Build a Location Intelligence ADK Agent with BigQuery &amp; Maps MCP</t>
  </si>
  <si>
    <t>Use two remote Google-managed MCP servers for data + location reasoning.</t>
  </si>
  <si>
    <t>Complete lab; add one eval for incorrect tool choice and one for cross-tool reasoning.</t>
  </si>
  <si>
    <t>Multi-MCP eval cases.</t>
  </si>
  <si>
    <t>Week 13 — Agent Skills</t>
  </si>
  <si>
    <t>Use Agent Skills with Multi-Agent Systems</t>
  </si>
  <si>
    <t>Combine ADK Skills, MCP, A2A and Agent Engine.</t>
  </si>
  <si>
    <t>Package one domain skill and dynamically load/use it in a multi-agent workflow.</t>
  </si>
  <si>
    <t>Reusable agent-skill package.</t>
  </si>
  <si>
    <t>Week 14 — Plugins, Skills, AgentOps</t>
  </si>
  <si>
    <t>ADK Training Modules 37–40</t>
  </si>
  <si>
    <t>Capstone, best practices, plugins, agent skills and AgentOps.</t>
  </si>
  <si>
    <t>Complete advanced capstone but substitute one domain component with your own implementation.</t>
  </si>
  <si>
    <t>Capstone v2 + retrospective.</t>
  </si>
  <si>
    <t>Week 14 — AI-assisted agent engineering</t>
  </si>
  <si>
    <t>Coding with AI / Agents CLI</t>
  </si>
  <si>
    <t>Google ADK Docs</t>
  </si>
  <si>
    <t>Use coding-agent skills and ADK Docs MCP for scaffold/build/test/eval/deploy.</t>
  </si>
  <si>
    <t>Use Agents CLI/Claude Code to modify an ADK project; review every generated change.</t>
  </si>
  <si>
    <t>Agent-assisted engineering log.</t>
  </si>
  <si>
    <t>Week 14 — Dynamic tool discovery</t>
  </si>
  <si>
    <t>Introducing advanced tool use</t>
  </si>
  <si>
    <t>Tool search, deferred loading, programmatic tool calling.</t>
  </si>
  <si>
    <t>Create 30+ mock tools; measure context/tool-selection performance with eager vs dynamic discovery.</t>
  </si>
  <si>
    <t>Tool-scaling benchmark.</t>
  </si>
  <si>
    <t>From Week 14 — research depth</t>
  </si>
  <si>
    <t>PARALLEL — Frontier Research</t>
  </si>
  <si>
    <t>Scaling Intelligence Lab — Research Themes</t>
  </si>
  <si>
    <t>Stanford</t>
  </si>
  <si>
    <t>The lab explicitly focuses on scalable/self-improving AI, agentic optimization, automated verifiers/benchmarks, and AI systems.</t>
  </si>
  <si>
    <t>Use as an ongoing research radar; maintain a one-page map of themes and how your projects connect.</t>
  </si>
  <si>
    <t>Stanford Research Track</t>
  </si>
  <si>
    <t>Research map</t>
  </si>
  <si>
    <t>Scaling Intelligence Lab — Publications</t>
  </si>
  <si>
    <t>A concentrated feed of recent work directly relevant to frontier agent engineering.</t>
  </si>
  <si>
    <t>Read one paper/week during the advanced phase; reproduce or ablate at least one.</t>
  </si>
  <si>
    <t>Paper notes + one replication</t>
  </si>
  <si>
    <t>Aakanksha Chowdhery — Research Site</t>
  </si>
  <si>
    <t>Aakanksha Chowdhery</t>
  </si>
  <si>
    <t>Useful ongoing feed for self-improving agents, RL, reasoning and systems research; also co-instructor context for CS329A.</t>
  </si>
  <si>
    <t>Check quarterly, not weekly; pull only papers/talks that create a concrete experiment or design question.</t>
  </si>
  <si>
    <t>Research watch notes</t>
  </si>
  <si>
    <t>Week 15 — Long-running agents</t>
  </si>
  <si>
    <t>Effective harnesses for long-running agents</t>
  </si>
  <si>
    <t>Design continuity across context windows and sessions.</t>
  </si>
  <si>
    <t>Build a two-session coding/research task with handoff notes, progress state and recovery.</t>
  </si>
  <si>
    <t>Long-running harness prototype.</t>
  </si>
  <si>
    <t>Week 15 — Current Google agent engineering intensive</t>
  </si>
  <si>
    <t>5-Day AI Agents: Intensive Vibe Coding Course with Google (2026)</t>
  </si>
  <si>
    <t>Practice the current Google agent workflow: agent skills, Agents CLI, tools/protocols, security/evaluation, and spec-driven production development.</t>
  </si>
  <si>
    <t>Complete the codelabs and capstone-style project; demonstrate at least three advanced concepts and publish architecture, eval, and failure-analysis notes.</t>
  </si>
  <si>
    <t>Kaggle capstone artifact + GitHub repo + short demo + technical retrospective.</t>
  </si>
  <si>
    <t>Week 15 — Self-improving agents / research depth</t>
  </si>
  <si>
    <t>Stanford CS329A — Self-Improving AI Agents</t>
  </si>
  <si>
    <t>Understand frontier techniques for self-improving agents: test-time scaling, verifiers, RL, tool/code feedback, planning, memory, long-horizon evaluation, and agentic software engineering.</t>
  </si>
  <si>
    <t>Follow the lecture sequence selectively; read the core papers; reproduce one result or ablation from a CS329A topic on a small benchmark rather than only taking notes.</t>
  </si>
  <si>
    <t>Research-replication repo + 4–6 page technical report with hypothesis, method, results, ablations, failures, and next steps.</t>
  </si>
  <si>
    <t>Week 15 — Cross-framework breadth</t>
  </si>
  <si>
    <t>AI Engineer Agentic Track: Complete Agent &amp; MCP Course</t>
  </si>
  <si>
    <t>Udemy</t>
  </si>
  <si>
    <t>Compare OpenAI Agents SDK, CrewAI, LangGraph, AutoGen and MCP through projects.</t>
  </si>
  <si>
    <t>Do not complete blindly: select 3 projects and reimplement one using ADK.</t>
  </si>
  <si>
    <t>Framework comparison matrix + 3 project commits.</t>
  </si>
  <si>
    <t>From Week 15 — research depth</t>
  </si>
  <si>
    <t>CS329A Past Projects</t>
  </si>
  <si>
    <t>Provides concrete examples of the research bar: AppBench, PRIME, meta-agents, ARCHON extensions, reasoning/RL and multi-agent verification.</t>
  </si>
  <si>
    <t>Review 5 projects; score each on novelty, experimental design, baselines, eval rigor and presentation. Use the best as a capstone-quality benchmark.</t>
  </si>
  <si>
    <t>Project-review rubric + capstone standard</t>
  </si>
  <si>
    <t>LLM-as-a-Verifier: A General-Purpose Verification Framework</t>
  </si>
  <si>
    <t>Scaling Intelligence, 2026</t>
  </si>
  <si>
    <t>Verification is a core bottleneck for self-improving and long-horizon agents.</t>
  </si>
  <si>
    <t>Build a small verifier benchmark: correctness, false accept/reject, calibration and cost across two models.</t>
  </si>
  <si>
    <t>Verifier benchmark report</t>
  </si>
  <si>
    <t>Week 16 — Architecture patterns</t>
  </si>
  <si>
    <t>Agentic AI Architectures with Patterns, Frameworks and MCP</t>
  </si>
  <si>
    <t>Agent patterns, orchestration/choreography, MCP/A2A, context engineering and enterprise lifecycle.</t>
  </si>
  <si>
    <t>Create a pattern decision tree for 8 scenarios; defend single vs multi-agent choices.</t>
  </si>
  <si>
    <t>Architecture decision record pack.</t>
  </si>
  <si>
    <t>Week 16 — Cross-vendor developer path</t>
  </si>
  <si>
    <t>Building Agentic AI Systems for Developers</t>
  </si>
  <si>
    <t>LangChain/HF, AutoGen, RAG, MCP/A2A, evals, governance and recovery.</t>
  </si>
  <si>
    <t>Use only modules filling gaps; reproduce key exercise using ADK or pure Python.</t>
  </si>
  <si>
    <t>Gap-closure notes.</t>
  </si>
  <si>
    <t>From Week 16 — 1 mock/week late in plan</t>
  </si>
  <si>
    <t>AI System Design Interview Questions</t>
  </si>
  <si>
    <t>Use after system/ML design foundations; emphasize LLM serving, semantic search, safe fallbacks and observability.</t>
  </si>
  <si>
    <t>Run timed mocks; after each, write what you missed and a better second-pass design.</t>
  </si>
  <si>
    <t>Converts broad architecture knowledge into interview-speed reasoning.</t>
  </si>
  <si>
    <t>From Week 16 — research depth</t>
  </si>
  <si>
    <t>Decentralized Multi-Agent Systems with Shared Context</t>
  </si>
  <si>
    <t>Directly relevant to multi-agent coordination and shared-context design beyond hierarchical supervisors.</t>
  </si>
  <si>
    <t>Compare centralized coordinator vs decentralized/shared-context architecture on the same task set.</t>
  </si>
  <si>
    <t>Architecture + benchmark</t>
  </si>
  <si>
    <t>Weaver: Shrinking the Generation–Verification Gap with Weak Verifiers</t>
  </si>
  <si>
    <t>Scaling Intelligence, 2025</t>
  </si>
  <si>
    <t>Shows why verifier quality can limit self-improvement and how weak-verifier regimes behave.</t>
  </si>
  <si>
    <t>Reproduce a weak-vs-strong verifier comparison on a compact dataset.</t>
  </si>
  <si>
    <t>Ablation report</t>
  </si>
  <si>
    <t>SPRINT: Interleaved Planning and Parallelized Execution</t>
  </si>
  <si>
    <t>Closely aligned with scalable agent planning/execution and latency-aware orchestration.</t>
  </si>
  <si>
    <t>Implement sequential plan-execute vs interleaved/parallel execution; compare success, latency and token cost.</t>
  </si>
  <si>
    <t>Planning benchmark</t>
  </si>
  <si>
    <t>Week 17 — Agentic coding</t>
  </si>
  <si>
    <t>Claude Code: Best practices for agentic coding</t>
  </si>
  <si>
    <t>Use low-level coding agents effectively with context, permissions, tests and workflows.</t>
  </si>
  <si>
    <t>Create CLAUDE.md for your capstone; run plan→implement→test→review workflow.</t>
  </si>
  <si>
    <t>CLAUDE.md + coding-agent workflow doc.</t>
  </si>
  <si>
    <t>Week 17 — Agentic coding practice</t>
  </si>
  <si>
    <t>Claude Code best practices | Code w/ Claude</t>
  </si>
  <si>
    <t>See practical Claude Code workflows from Anthropic engineering.</t>
  </si>
  <si>
    <t>Apply 3 techniques to an existing repo and quantify cycle-time/quality impact.</t>
  </si>
  <si>
    <t>Before/after engineering notes.</t>
  </si>
  <si>
    <t>Week 17 — ADK practical overview</t>
  </si>
  <si>
    <t>Getting started with Agent Development Kit</t>
  </si>
  <si>
    <t>Quick refresher on tools, MCP, deployment and observability.</t>
  </si>
  <si>
    <t>Watch after hands-on work; list anything the video simplifies or omits.</t>
  </si>
  <si>
    <t>Critical-review notes.</t>
  </si>
  <si>
    <t>Week 17 — Protocols overview</t>
  </si>
  <si>
    <t>How to build an AI agent with MCP, ADK, and A2A on Google Cloud</t>
  </si>
  <si>
    <t>End-to-end visual walkthrough of MCP + ADK + A2A architecture.</t>
  </si>
  <si>
    <t>Redraw architecture from memory and annotate trust boundaries.</t>
  </si>
  <si>
    <t>Annotated architecture diagram.</t>
  </si>
  <si>
    <t>From Week 17 — research depth</t>
  </si>
  <si>
    <t>CodeMonkeys: Scaling Test-Time Compute for Software Engineering</t>
  </si>
  <si>
    <t>Connects coding agents, inference-time compute and software-engineering benchmarks.</t>
  </si>
  <si>
    <t>Run a small coding benchmark varying sampling/test-time budget; plot pass rate vs cost.</t>
  </si>
  <si>
    <t>Cost-quality curve + analysis</t>
  </si>
  <si>
    <t>Archon: Architecture Search for Inference-Time Techniques</t>
  </si>
  <si>
    <t>Scaling Intelligence, 2024</t>
  </si>
  <si>
    <t>A useful bridge from manually designed agent workflows to automated inference architecture search.</t>
  </si>
  <si>
    <t>Implement 3 inference architectures (single, critic/ranker, planner+critic) and compare quality/cost.</t>
  </si>
  <si>
    <t>Architecture-search mini study</t>
  </si>
  <si>
    <t>Week 18 — Framework-free mastery</t>
  </si>
  <si>
    <t>Build a minimal agent runtime from scratch</t>
  </si>
  <si>
    <t>Internalize agent loop, tools, state, planner/router, retries, tracing and eval hooks.</t>
  </si>
  <si>
    <t>Implement 2k–4k LOC Python runtime with tests; no LangChain/ADK/CrewAI runtime.</t>
  </si>
  <si>
    <t>—</t>
  </si>
  <si>
    <t>Repo: agent-runtime-from-scratch.</t>
  </si>
  <si>
    <t>From Week 18 — research depth</t>
  </si>
  <si>
    <t>TRACE: Capability-Targeted Agentic Training</t>
  </si>
  <si>
    <t>Pushes beyond prompting/frameworks into training agents for targeted capabilities.</t>
  </si>
  <si>
    <t>Write an experiment design for one capability (tool use, recovery, planning); if compute permits, run a small-scale version.</t>
  </si>
  <si>
    <t>Experiment proposal/results</t>
  </si>
  <si>
    <t>Week 19 — Interoperability</t>
  </si>
  <si>
    <t>Agent protocol lab</t>
  </si>
  <si>
    <t>Prove MCP/A2A and vendor interoperability.</t>
  </si>
  <si>
    <t>ADK coordinator + Claude-backed worker + pure Python worker; MCP tools; A2A communication.</t>
  </si>
  <si>
    <t>Repo: agent-protocol-lab.</t>
  </si>
  <si>
    <t>Week 19 — Benchmarking</t>
  </si>
  <si>
    <t>Agent eval benchmark</t>
  </si>
  <si>
    <t>Compare agent architectures using measurable quality/cost/latency/reliability.</t>
  </si>
  <si>
    <t>Run 100-task benchmark across single/multi-agent and at least 2 model stacks.</t>
  </si>
  <si>
    <t>Repo: agent-evals + results dashboard.</t>
  </si>
  <si>
    <t>Week 20 — Production capstone</t>
  </si>
  <si>
    <t>Production multi-agent architecture system</t>
  </si>
  <si>
    <t>Integrate architecture, protocols, evals, security, ops and deployment.</t>
  </si>
  <si>
    <t>Deploy a real multi-agent system with auth, persistence, evals, traces, HITL and CI/CD.</t>
  </si>
  <si>
    <t>Flagship public/private portfolio repo + architecture paper.</t>
  </si>
  <si>
    <t>Week 20 — Technical communication</t>
  </si>
  <si>
    <t>Publish technical write-up</t>
  </si>
  <si>
    <t>Demonstrate senior-level reasoning, tradeoffs and clarity.</t>
  </si>
  <si>
    <t>Write: 'MCP vs A2A vs Agent Skills in production' using your measured examples.</t>
  </si>
  <si>
    <t>Public article / internal whitepaper.</t>
  </si>
  <si>
    <t>Agentic AI Mastery — Study &amp; Portfolio Tracker</t>
  </si>
  <si>
    <t>Goal: Google / Anthropic-level agent engineering depth — courses are inputs; code, evals, production and technical reasoning are the outputs.</t>
  </si>
  <si>
    <t>KPI</t>
  </si>
  <si>
    <t>Value</t>
  </si>
  <si>
    <t>Hands-On KPI</t>
  </si>
  <si>
    <t>Readiness KPI</t>
  </si>
  <si>
    <t>Roadmap items</t>
  </si>
  <si>
    <t>Labs</t>
  </si>
  <si>
    <t>Overall competency readiness</t>
  </si>
  <si>
    <t>Completed</t>
  </si>
  <si>
    <t>Labs completed</t>
  </si>
  <si>
    <t>Competencies at target</t>
  </si>
  <si>
    <t>VERY HIGH priority items</t>
  </si>
  <si>
    <t>Capstone labs</t>
  </si>
  <si>
    <t>Program end</t>
  </si>
  <si>
    <t>Planned learning hours</t>
  </si>
  <si>
    <t>Planned lab hours</t>
  </si>
  <si>
    <t>Link audit</t>
  </si>
  <si>
    <t>Platform Library re-audited Sep 5, 2026: 62/62 destinations validated; no confirmed broken links. All rows now have an explicit native clickable Open Link plus a copyable URL and audit note.</t>
  </si>
  <si>
    <t>Roadmap Items</t>
  </si>
  <si>
    <t>Count</t>
  </si>
  <si>
    <t>In Progress</t>
  </si>
  <si>
    <t>Done</t>
  </si>
  <si>
    <t>Skipped</t>
  </si>
  <si>
    <t>Operating Rule</t>
  </si>
  <si>
    <t>What it means</t>
  </si>
  <si>
    <t>30 / 70</t>
  </si>
  <si>
    <t>~30% courses/reading; ~70% building, breaking, measuring, deploying.</t>
  </si>
  <si>
    <t>Rebuild from memory</t>
  </si>
  <si>
    <t>After guided labs, close the instructions and reproduce the core design.</t>
  </si>
  <si>
    <t>Evals before claims</t>
  </si>
  <si>
    <t>Never call an agent 'good' without a repeatable task set and metrics.</t>
  </si>
  <si>
    <t>Protocol &gt; framework</t>
  </si>
  <si>
    <t>Be able to explain and implement MCP/A2A concepts outside ADK.</t>
  </si>
  <si>
    <t>Portfolio &gt; badge count</t>
  </si>
  <si>
    <t>Four excellent repos with measured tradeoffs beat dozens of tutorial repos.</t>
  </si>
  <si>
    <t>Parallel interview track</t>
  </si>
  <si>
    <t>Run CS + Interview Track at ~3–5 h/week alongside the 20-week agent roadmap; do not replace build/eval/deployment time with interview grinding.</t>
  </si>
  <si>
    <t>Master navigation</t>
  </si>
  <si>
    <t>Use Master Plan as the canonical sequence; every item links to its detail sheet and external source.</t>
  </si>
  <si>
    <t>Program dates</t>
  </si>
  <si>
    <t>Oct 1, 2026 → Feb 17, 2027 (20 seven-day study blocks).</t>
  </si>
  <si>
    <t>Competency matrix</t>
  </si>
  <si>
    <t>Use Current Level 0–4 to turn course completion into measurable readiness and evidence gaps.</t>
  </si>
  <si>
    <t>Stage</t>
  </si>
  <si>
    <t>Order</t>
  </si>
  <si>
    <t>Week</t>
  </si>
  <si>
    <t>Topic</t>
  </si>
  <si>
    <t>Resource</t>
  </si>
  <si>
    <t>Type</t>
  </si>
  <si>
    <t>Est. Hours</t>
  </si>
  <si>
    <t>Target Outcome</t>
  </si>
  <si>
    <t>Hands-on Proof</t>
  </si>
  <si>
    <t>Portfolio Evidence</t>
  </si>
  <si>
    <t>Back to Master Plan</t>
  </si>
  <si>
    <t>Agent fundamentals</t>
  </si>
  <si>
    <t>Course</t>
  </si>
  <si>
    <t>https://www.skills.google/course_templates/1585</t>
  </si>
  <si>
    <t>First ADK agent</t>
  </si>
  <si>
    <t>Hands-on course</t>
  </si>
  <si>
    <t>https://partner.skills.google/course_templates/1563</t>
  </si>
  <si>
    <t>ADK foundations</t>
  </si>
  <si>
    <t>Codelab</t>
  </si>
  <si>
    <t>https://codelabs.developers.google.com/devsite/codelabs/build-agents-with-adk-foundation</t>
  </si>
  <si>
    <t>ADK mental model</t>
  </si>
  <si>
    <t>Video</t>
  </si>
  <si>
    <t>https://www.youtube.com/watch?v=zgrOwow_uTQ</t>
  </si>
  <si>
    <t>ADK deep foundation</t>
  </si>
  <si>
    <t>Hands-on modules</t>
  </si>
  <si>
    <t>https://mauripsale.github.io/doc-adk-training/docs/</t>
  </si>
  <si>
    <t>Tools</t>
  </si>
  <si>
    <t>https://codelabs.developers.google.com/devsite/codelabs/build-agents-with-adk-empowering-with-tools</t>
  </si>
  <si>
    <t>Tools &amp; grounding</t>
  </si>
  <si>
    <t>https://github.com/mauripsale/doc-adk-training</t>
  </si>
  <si>
    <t>Tool engineering</t>
  </si>
  <si>
    <t>Article</t>
  </si>
  <si>
    <t>https://www.anthropic.com/engineering/writing-tools-for-agents</t>
  </si>
  <si>
    <t>Agent patterns</t>
  </si>
  <si>
    <t>https://www.youtube.com/watch?v=uhJJgc-0iTQ</t>
  </si>
  <si>
    <t>MCP fundamentals</t>
  </si>
  <si>
    <t>https://www.linkedin.com/learning/model-context-protocol-mcp-hands-on-with-agentic-ai</t>
  </si>
  <si>
    <t>MCP in ADK</t>
  </si>
  <si>
    <t>MCP + ADK + A2A</t>
  </si>
  <si>
    <t>https://codelabs.developers.google.com/codelabs/currency-agent</t>
  </si>
  <si>
    <t>MCP efficiency</t>
  </si>
  <si>
    <t>https://www.anthropic.com/engineering/code-execution-with-mcp</t>
  </si>
  <si>
    <t>MCP deeper dive</t>
  </si>
  <si>
    <t>https://www.linkedin.com/learning/introduction-to-model-context-protocol-by-anthropic</t>
  </si>
  <si>
    <t>Multi-agent fundamentals</t>
  </si>
  <si>
    <t>Distributed multi-agent</t>
  </si>
  <si>
    <t>Learning path</t>
  </si>
  <si>
    <t>https://www.skills.google/paths/3877</t>
  </si>
  <si>
    <t>A2A</t>
  </si>
  <si>
    <t>https://codelabs.developers.google.com/next26/adk-agent2agent</t>
  </si>
  <si>
    <t>MCP + A2A cross-vendor</t>
  </si>
  <si>
    <t>https://www.linkedin.com/learning/hands-on-ai-building-ai-agents-with-model-context-protocol-mcp-and-agent2agent-a2a</t>
  </si>
  <si>
    <t>Production multi-agent</t>
  </si>
  <si>
    <t>https://codelabs.developers.google.com/ai-creative-studio-adk-a2a?hl=en</t>
  </si>
  <si>
    <t>Multi-agent production lessons</t>
  </si>
  <si>
    <t>https://www.anthropic.com/engineering/multi-agent-research-system</t>
  </si>
  <si>
    <t>State &amp; memory</t>
  </si>
  <si>
    <t>Context engineering</t>
  </si>
  <si>
    <t>https://www.anthropic.com/engineering/effective-context-engineering-for-ai-agents</t>
  </si>
  <si>
    <t>Evaluation</t>
  </si>
  <si>
    <t>Hands-on module</t>
  </si>
  <si>
    <t>Agent evals</t>
  </si>
  <si>
    <t>https://www.linkedin.com/learning/ai-evaluations-foundations-and-practical-examples</t>
  </si>
  <si>
    <t>Agent eval methodology</t>
  </si>
  <si>
    <t>https://www.anthropic.com/engineering/demystifying-evals-for-ai-agents</t>
  </si>
  <si>
    <t>Observability &amp; callbacks</t>
  </si>
  <si>
    <t>Governance</t>
  </si>
  <si>
    <t>https://www.linkedin.com/learning/governing-ai-agents-visibility-and-control</t>
  </si>
  <si>
    <t>Failure recovery</t>
  </si>
  <si>
    <t>https://www.linkedin.com/learning/operating-ai-agents-failure-and-recovery</t>
  </si>
  <si>
    <t>Integrated agent engineering review</t>
  </si>
  <si>
    <t>Self-paced guide + notebooks</t>
  </si>
  <si>
    <t>https://www.kaggle.com/learn-guide/5-day-agents</t>
  </si>
  <si>
    <t>Enterprise governance</t>
  </si>
  <si>
    <t>https://codelabs.developers.google.com/governance-context-part2</t>
  </si>
  <si>
    <t>Containment</t>
  </si>
  <si>
    <t>https://www.anthropic.com/engineering/how-we-contain-claude</t>
  </si>
  <si>
    <t>Production deployment</t>
  </si>
  <si>
    <t>https://www.skills.google/paths/3802</t>
  </si>
  <si>
    <t>Cloud deployment</t>
  </si>
  <si>
    <t>Google managed MCP</t>
  </si>
  <si>
    <t>https://codelabs.developers.google.com/adk-mcp-bigquery-maps</t>
  </si>
  <si>
    <t>Agent Skills</t>
  </si>
  <si>
    <t>Skill badge</t>
  </si>
  <si>
    <t>https://www.skills.google/paths/4459/course_templates/1842</t>
  </si>
  <si>
    <t>Plugins, Skills, AgentOps</t>
  </si>
  <si>
    <t>Capstone modules</t>
  </si>
  <si>
    <t>AI-assisted agent engineering</t>
  </si>
  <si>
    <t>Docs/tutorial</t>
  </si>
  <si>
    <t>https://adk.dev/tutorials/coding-with-ai/</t>
  </si>
  <si>
    <t>Dynamic tool discovery</t>
  </si>
  <si>
    <t>https://www.anthropic.com/engineering/advanced-tool-use</t>
  </si>
  <si>
    <t>Long-running agents</t>
  </si>
  <si>
    <t>https://www.anthropic.com/engineering/effective-harnesses-for-long-running-agents</t>
  </si>
  <si>
    <t>Current Google agent engineering intensive</t>
  </si>
  <si>
    <t>Self-paced guide + codelabs + capstone</t>
  </si>
  <si>
    <t>https://www.kaggle.com/learn-guide/5-day-agents-vibecoding</t>
  </si>
  <si>
    <t>Self-improving agents / research depth</t>
  </si>
  <si>
    <t>Graduate seminar + papers + research project</t>
  </si>
  <si>
    <t>https://cs329a.stanford.edu/</t>
  </si>
  <si>
    <t>Cross-framework breadth</t>
  </si>
  <si>
    <t>https://www.udemy.com/course/the-complete-agentic-ai-engineering-course/</t>
  </si>
  <si>
    <t>Architecture patterns</t>
  </si>
  <si>
    <t>https://www.udemy.com/course/agentic-ai-architectures-with-patterns-frameworks-and-mcp/</t>
  </si>
  <si>
    <t>Cross-vendor developer path</t>
  </si>
  <si>
    <t>https://www.linkedin.com/learning/paths/building-agentic-ai-systems-for-developers</t>
  </si>
  <si>
    <t>Agentic coding</t>
  </si>
  <si>
    <t>https://code.claude.com/docs/en/best-practices</t>
  </si>
  <si>
    <t>Agentic coding practice</t>
  </si>
  <si>
    <t>https://www.youtube.com/watch?v=gv0WHhKelSE</t>
  </si>
  <si>
    <t>ADK practical overview</t>
  </si>
  <si>
    <t>https://www.youtube.com/watch?v=44C8u0CDtSo</t>
  </si>
  <si>
    <t>Protocols overview</t>
  </si>
  <si>
    <t>https://www.youtube.com/watch?v=6mQwHqK1I5w</t>
  </si>
  <si>
    <t>Framework-free mastery</t>
  </si>
  <si>
    <t>Capstone lab</t>
  </si>
  <si>
    <t>Interoperability</t>
  </si>
  <si>
    <t>Benchmarking</t>
  </si>
  <si>
    <t>Production capstone</t>
  </si>
  <si>
    <t>Portfolio capstone</t>
  </si>
  <si>
    <t>Technical communication</t>
  </si>
  <si>
    <t>Writing</t>
  </si>
  <si>
    <t>#</t>
  </si>
  <si>
    <t>Lab</t>
  </si>
  <si>
    <t>Focus</t>
  </si>
  <si>
    <t>Activity</t>
  </si>
  <si>
    <t>Acceptance Criteria</t>
  </si>
  <si>
    <t>Evidence / Repo</t>
  </si>
  <si>
    <t>Target Week</t>
  </si>
  <si>
    <t>First ADK Agent</t>
  </si>
  <si>
    <t>Foundations</t>
  </si>
  <si>
    <t>Build from memory after GEAR/codelab; add structured output + custom tool.</t>
  </si>
  <si>
    <t>Runs locally; README; tests 3 happy/3 failure cases; no tutorial copy-paste.</t>
  </si>
  <si>
    <t>first-adk-agent</t>
  </si>
  <si>
    <t>Tool Contract Lab</t>
  </si>
  <si>
    <t>Create 5 tools with typed schemas; deliberately create bad descriptions, then improve them.</t>
  </si>
  <si>
    <t>Measure tool-selection and argument accuracy before/after across 20 prompts.</t>
  </si>
  <si>
    <t>tool-contract-evals</t>
  </si>
  <si>
    <t>MCP Server</t>
  </si>
  <si>
    <t>MCP</t>
  </si>
  <si>
    <t>Expose a real internal-style service via MCP with tools/resources/prompts.</t>
  </si>
  <si>
    <t>MCP inspector passes; auth/error paths tested; works with 2 clients.</t>
  </si>
  <si>
    <t>mcp-server-lab</t>
  </si>
  <si>
    <t>MCP Efficiency Benchmark</t>
  </si>
  <si>
    <t>MCP / Context</t>
  </si>
  <si>
    <t>Compare direct tool calls vs code execution/dynamic tool discovery.</t>
  </si>
  <si>
    <t>Report success, tokens, latency, and context size on &gt;=20 tasks.</t>
  </si>
  <si>
    <t>mcp-efficiency-benchmark</t>
  </si>
  <si>
    <t>A2A Interop Lab</t>
  </si>
  <si>
    <t>Build two agents as independent services with Agent Cards and A2A.</t>
  </si>
  <si>
    <t>Remote call works; version mismatch + timeout cases tested.</t>
  </si>
  <si>
    <t>a2a-interop-lab</t>
  </si>
  <si>
    <t>Multi-Agent Pattern Pack</t>
  </si>
  <si>
    <t>Multi-agent</t>
  </si>
  <si>
    <t>Implement supervisor, router, parallel workers, critique/revision.</t>
  </si>
  <si>
    <t>Each pattern has tests + decision criteria + known failure modes.</t>
  </si>
  <si>
    <t>multi-agent-patterns</t>
  </si>
  <si>
    <t>Cross-Vendor Agent Team</t>
  </si>
  <si>
    <t>Interop</t>
  </si>
  <si>
    <t>ADK coordinator + Claude-backed agent + pure-Python agent; MCP tools.</t>
  </si>
  <si>
    <t>Agents collaborate over explicit protocol boundary; vendor swap documented.</t>
  </si>
  <si>
    <t>cross-vendor-agent-team</t>
  </si>
  <si>
    <t>Memory &amp; Context Lab</t>
  </si>
  <si>
    <t>Memory</t>
  </si>
  <si>
    <t>Session state, persistent memory, artifacts, context compaction.</t>
  </si>
  <si>
    <t>Retention rules documented; context size instrumented; recovery tested.</t>
  </si>
  <si>
    <t>agent-memory-context</t>
  </si>
  <si>
    <t>100-Task Eval Harness</t>
  </si>
  <si>
    <t>Evals</t>
  </si>
  <si>
    <t>Build golden dataset and graders for task outcome, tool choice, args, trajectory.</t>
  </si>
  <si>
    <t>100 tasks; difficulty labels; deterministic + judge graders; manual audit sample.</t>
  </si>
  <si>
    <t>agent-evals</t>
  </si>
  <si>
    <t>Agent Observability</t>
  </si>
  <si>
    <t>AgentOps</t>
  </si>
  <si>
    <t>Instrument traces, tokens, latency, retries, tool errors, routing.</t>
  </si>
  <si>
    <t>Can diagnose 5 injected failures from traces alone.</t>
  </si>
  <si>
    <t>agent-observability</t>
  </si>
  <si>
    <t>Agent Red Team</t>
  </si>
  <si>
    <t>Security</t>
  </si>
  <si>
    <t>Prompt injection, poisoned tool output, exfiltration, privilege escalation, cost loop.</t>
  </si>
  <si>
    <t>Threat model + mitigations; repeat attacks after fixes.</t>
  </si>
  <si>
    <t>agent-red-team</t>
  </si>
  <si>
    <t>Cloud Run / GKE Deployment</t>
  </si>
  <si>
    <t>Production</t>
  </si>
  <si>
    <t>Deploy same agent stack to Cloud Run and GKE.</t>
  </si>
  <si>
    <t>Runbook, rollback, auth, secret handling, cost/ops comparison.</t>
  </si>
  <si>
    <t>agent-deployment-lab</t>
  </si>
  <si>
    <t>Agent Skills Package</t>
  </si>
  <si>
    <t>Skills</t>
  </si>
  <si>
    <t>Create reusable skill with tests and dynamic loading.</t>
  </si>
  <si>
    <t>Skill is discoverable, versioned, and used by &gt;=2 agents.</t>
  </si>
  <si>
    <t>agent-skills-pack</t>
  </si>
  <si>
    <t>Minimal Agent Runtime</t>
  </si>
  <si>
    <t>From scratch</t>
  </si>
  <si>
    <t>Build your own runtime: loop, tools, state, router, retries, streaming, trace hooks.</t>
  </si>
  <si>
    <t>2k–4k LOC target; &gt;=70% core tests; framework-independent.</t>
  </si>
  <si>
    <t>agent-runtime-from-scratch</t>
  </si>
  <si>
    <t>Flagship Production Capstone</t>
  </si>
  <si>
    <t>Capstone</t>
  </si>
  <si>
    <t>Production multi-agent architecture assistant / incident system with MCP+A2A+evals+security.</t>
  </si>
  <si>
    <t>Auth, persistence, HITL, eval gate, traces, CI/CD, deployed endpoint, architecture paper; also satisfy a Kaggle-style capstone rubric with &gt;=3 advanced agent concepts and a short demo.</t>
  </si>
  <si>
    <t>production-multi-agent-system</t>
  </si>
  <si>
    <t>Technical Article</t>
  </si>
  <si>
    <t>Communication</t>
  </si>
  <si>
    <t>Write a measured engineering article: MCP vs A2A vs Agent Skills.</t>
  </si>
  <si>
    <t>Uses your own code/results; diagrams; tradeoff table; reproducible examples.</t>
  </si>
  <si>
    <t>Published article / whitepaper</t>
  </si>
  <si>
    <t>RAG Retrieval Quality Benchmark</t>
  </si>
  <si>
    <t>Core</t>
  </si>
  <si>
    <t>Build and measure a production-style retrieval pipeline before adding agent complexity.</t>
  </si>
  <si>
    <t>Create a labeled corpus/query set; compare keyword, vector, hybrid and reranked retrieval. Add chunking and metadata-filter ablations.</t>
  </si>
  <si>
    <t>Repo + Recall@K/MRR/nDCG table + latency/cost + failure taxonomy</t>
  </si>
  <si>
    <t>RAG vs GraphRAG / Spanner Graph</t>
  </si>
  <si>
    <t>Advanced</t>
  </si>
  <si>
    <t>Determine when relationship-aware retrieval materially outperforms vector-only RAG.</t>
  </si>
  <si>
    <t>Build the same domain in vector RAG and Spanner Graph GraphRAG. Test multi-hop questions, entity relations and ambiguous queries.</t>
  </si>
  <si>
    <t>Benchmark + architecture ADR + graph schema + demo</t>
  </si>
  <si>
    <t>Format / Duration</t>
  </si>
  <si>
    <t>Use</t>
  </si>
  <si>
    <t>Open Link</t>
  </si>
  <si>
    <t>Canonical URL</t>
  </si>
  <si>
    <t>Validation</t>
  </si>
  <si>
    <t>Last Checked</t>
  </si>
  <si>
    <t>Audit Note</t>
  </si>
  <si>
    <t>Develop Agents with ADK</t>
  </si>
  <si>
    <t>Primary</t>
  </si>
  <si>
    <t>https://www.skills.google/paths/3545</t>
  </si>
  <si>
    <t>Verified</t>
  </si>
  <si>
    <t>Link verified; sign-in may be required to launch/track course progress.</t>
  </si>
  <si>
    <t>Build Agents with ADK</t>
  </si>
  <si>
    <t>Build Collaborative Multi-Agent Systems with ADK &amp; MCP</t>
  </si>
  <si>
    <t>https://www.skills.google/course_templates/1833</t>
  </si>
  <si>
    <t>Direct Google Skills course URL verified via current search results; a path-scoped alias also exists.</t>
  </si>
  <si>
    <t>Building AI Agents with ADK: Foundation</t>
  </si>
  <si>
    <t>Opened successfully during audit.</t>
  </si>
  <si>
    <t>Multi-Agent Creative Studio: ADK + A2A + MCP</t>
  </si>
  <si>
    <t>Location Intelligence ADK Agent with BigQuery &amp; Maps MCP</t>
  </si>
  <si>
    <t>Secondary</t>
  </si>
  <si>
    <t>Enterprise Governance-Aware Agent with MCP &amp; Cloud Run</t>
  </si>
  <si>
    <t>Docs</t>
  </si>
  <si>
    <t>ADK Training Documentation</t>
  </si>
  <si>
    <t>40-module hands-on course</t>
  </si>
  <si>
    <t>ADK Training GitHub</t>
  </si>
  <si>
    <t>Repository</t>
  </si>
  <si>
    <t>Anthropic</t>
  </si>
  <si>
    <t>Engineering hub</t>
  </si>
  <si>
    <t>Articles</t>
  </si>
  <si>
    <t>https://www.anthropic.com/engineering</t>
  </si>
  <si>
    <t>Building effective agents</t>
  </si>
  <si>
    <t>https://www.anthropic.com/engineering/building-effective-agents</t>
  </si>
  <si>
    <t>Writing effective tools for agents</t>
  </si>
  <si>
    <t>Code execution with MCP</t>
  </si>
  <si>
    <t>Advanced tool use</t>
  </si>
  <si>
    <t>Claude Code best practices</t>
  </si>
  <si>
    <t>11-course path / 16h</t>
  </si>
  <si>
    <t>Link verified; full content may require your subscription/sign-in.</t>
  </si>
  <si>
    <t>MCP: Hands-On with Agentic AI</t>
  </si>
  <si>
    <t>Course / 55m</t>
  </si>
  <si>
    <t>MCP + A2A Hands-On</t>
  </si>
  <si>
    <t>Course / 1h40m</t>
  </si>
  <si>
    <t>Course / 2h08m</t>
  </si>
  <si>
    <t>Course / 53m</t>
  </si>
  <si>
    <t>Course / 41m</t>
  </si>
  <si>
    <t>AI Engineer Agentic Track: Complete Agent &amp; MCP Course — Ed Donner</t>
  </si>
  <si>
    <t>Course / 21h07m</t>
  </si>
  <si>
    <t>Agentic AI Architectures with Patterns, Frameworks and MCP — Mehmet Ozkaya</t>
  </si>
  <si>
    <t>Course / 7h31m</t>
  </si>
  <si>
    <t>Complete MCP Bootcamp: Build Next-Gen AI Agents with MCP</t>
  </si>
  <si>
    <t>Course / 14h24m</t>
  </si>
  <si>
    <t>Optional</t>
  </si>
  <si>
    <t>https://www.udemy.com/course/complete-mcp-bootcamp-build-next-gen-ai-agents-with-mcp/</t>
  </si>
  <si>
    <t>YouTube — Google</t>
  </si>
  <si>
    <t>Video URL verified and currently resolves.</t>
  </si>
  <si>
    <t>How to build an AI agent with MCP, ADK, and A2A</t>
  </si>
  <si>
    <t>Link verified; Kaggle sign-in may be required for notebooks/competition actions.</t>
  </si>
  <si>
    <t>Self-paced guide + codelabs</t>
  </si>
  <si>
    <t>5-Day Gen AI Intensive Course with Google</t>
  </si>
  <si>
    <t>Optional foundation</t>
  </si>
  <si>
    <t>https://www.kaggle.com/learn-guide/5-day-genai</t>
  </si>
  <si>
    <t>2026 AI Agents Intensive — capstone &amp; community notebooks</t>
  </si>
  <si>
    <t>Competition archive / capstone</t>
  </si>
  <si>
    <t>Portfolio reference</t>
  </si>
  <si>
    <t>https://www.kaggle.com/competitions/5-day-ai-agents-intensive-vibecoding-course-with-google</t>
  </si>
  <si>
    <t>CS329A — Self-Improving AI Agents</t>
  </si>
  <si>
    <t>Graduate seminar / papers</t>
  </si>
  <si>
    <t>Research project archive</t>
  </si>
  <si>
    <t>https://cs329a.stanford.edu/pastprojects.html</t>
  </si>
  <si>
    <t>Scaling Intelligence Lab</t>
  </si>
  <si>
    <t>Research lab</t>
  </si>
  <si>
    <t>https://scalingintelligence.stanford.edu/</t>
  </si>
  <si>
    <t>Scaling Intelligence Lab Publications</t>
  </si>
  <si>
    <t>Research papers</t>
  </si>
  <si>
    <t>https://scalingintelligence.stanford.edu/pubs/</t>
  </si>
  <si>
    <t>Research site</t>
  </si>
  <si>
    <t>Faculty / research feed</t>
  </si>
  <si>
    <t>https://www.achowhery.com</t>
  </si>
  <si>
    <t>Study plan</t>
  </si>
  <si>
    <t>Interview primary</t>
  </si>
  <si>
    <t>https://leetcode.com/studyplan/leetcode-75/</t>
  </si>
  <si>
    <t>Interview secondary</t>
  </si>
  <si>
    <t>https://leetcode.com/studyplan/top-interview-150/</t>
  </si>
  <si>
    <t>Course / 26h</t>
  </si>
  <si>
    <t>https://www.educative.io/courses/grokking-the-system-design-interview</t>
  </si>
  <si>
    <t>Course / 17h</t>
  </si>
  <si>
    <t>https://www.educative.io/courses/grokking-the-machine-learning-system-design-interview</t>
  </si>
  <si>
    <t>Course / 6h</t>
  </si>
  <si>
    <t>https://www.educative.io/courses/agentic-ai-systems</t>
  </si>
  <si>
    <t>Interview track</t>
  </si>
  <si>
    <t>https://www.educative.io/courses/ai-system-design-interview-questions</t>
  </si>
  <si>
    <t>6.006 — Introduction to Algorithms</t>
  </si>
  <si>
    <t>https://ocw.mit.edu/courses/6-006-introduction-to-algorithms-fall-2011/</t>
  </si>
  <si>
    <t>6.824 — Distributed Computer Systems Engineering</t>
  </si>
  <si>
    <t>Graduate course</t>
  </si>
  <si>
    <t>Foundations primary</t>
  </si>
  <si>
    <t>https://ocw.mit.edu/courses/6-824-distributed-computer-systems-engineering-spring-2006/</t>
  </si>
  <si>
    <t>6.172 — Performance Engineering of Software Systems</t>
  </si>
  <si>
    <t>Systems depth</t>
  </si>
  <si>
    <t>https://ocw.mit.edu/courses/6-172-performance-engineering-of-software-systems-fall-2018/</t>
  </si>
  <si>
    <t>6.034 — Artificial Intelligence</t>
  </si>
  <si>
    <t>https://ocw.mit.edu/courses/6-034-artificial-intelligence-fall-2010/</t>
  </si>
  <si>
    <t>Course / 7 weeks</t>
  </si>
  <si>
    <t>Foundations secondary</t>
  </si>
  <si>
    <t>https://cs50.harvard.edu/ai/</t>
  </si>
  <si>
    <t>Theme</t>
  </si>
  <si>
    <t>Primary Inputs</t>
  </si>
  <si>
    <t>Hands-On Deliverable</t>
  </si>
  <si>
    <t>Target Hours</t>
  </si>
  <si>
    <t>Start Date</t>
  </si>
  <si>
    <t>End Date</t>
  </si>
  <si>
    <t>ADK orientation + first agent</t>
  </si>
  <si>
    <t>GEAR Build Agents; First Agent; Foundation codelab; Google ADK intro video</t>
  </si>
  <si>
    <t>Maurizio 1–7</t>
  </si>
  <si>
    <t>Rebuild core agent from memory; architecture note</t>
  </si>
  <si>
    <t>Maurizio 8–14; Google tools codelab; Anthropic tool article</t>
  </si>
  <si>
    <t>MCP basics</t>
  </si>
  <si>
    <t>LinkedIn MCP; Maurizio 27–28; Currency codelab start</t>
  </si>
  <si>
    <t>MCP efficiency + context</t>
  </si>
  <si>
    <t>Currency codelab finish; Anthropic code execution; Anthropic context article</t>
  </si>
  <si>
    <t>MCP benchmark</t>
  </si>
  <si>
    <t>Multi-agent + A2A</t>
  </si>
  <si>
    <t>Maurizio 15–21.5; GEAR multi-agent; A2A codelab</t>
  </si>
  <si>
    <t>Creative Studio codelab; Anthropic multi-agent article/video</t>
  </si>
  <si>
    <t>Memory + artifacts</t>
  </si>
  <si>
    <t>Maurizio 22–23</t>
  </si>
  <si>
    <t>Maurizio 24; LinkedIn evals; Anthropic evals</t>
  </si>
  <si>
    <t>100-Task Eval Harness v1</t>
  </si>
  <si>
    <t>Observability + recovery</t>
  </si>
  <si>
    <t>Maurizio 25–26; LinkedIn failure recovery; Kaggle 2025 Agents Intensive (quality/production units)</t>
  </si>
  <si>
    <t>Security + governance</t>
  </si>
  <si>
    <t>LinkedIn governance; Google governance codelab; Anthropic containment</t>
  </si>
  <si>
    <t>GEAR Deploy Production Ready; Maurizio 31–32</t>
  </si>
  <si>
    <t>Cloud Run deployment</t>
  </si>
  <si>
    <t>Enterprise integrations</t>
  </si>
  <si>
    <t>Maurizio 33–36; Location Intelligence MCP codelab</t>
  </si>
  <si>
    <t>GKE / managed MCP comparison</t>
  </si>
  <si>
    <t>Agent Skills + advanced tools</t>
  </si>
  <si>
    <t>GEAR Agent Skills; Maurizio 37–40; Agents CLI; Anthropic advanced tools</t>
  </si>
  <si>
    <t>Self-improving agents + research replication</t>
  </si>
  <si>
    <t>Stanford CS329A; Scaling Intelligence selected papers; Anthropic long-running harness</t>
  </si>
  <si>
    <t>Replication proposal/ablation plan + long-running harness prototype</t>
  </si>
  <si>
    <t>Current agent engineering + architecture breadth</t>
  </si>
  <si>
    <t>Kaggle 2026 Agents Intensive Vibe Coding; selected Udemy architecture material; LinkedIn gap modules</t>
  </si>
  <si>
    <t>Kaggle capstone-style agent + pattern decision tree / ADR pack</t>
  </si>
  <si>
    <t>Agentic coding + research synthesis</t>
  </si>
  <si>
    <t>Anthropic Claude Code article/video; Google coding-with-AI docs; CS329A project/paper synthesis</t>
  </si>
  <si>
    <t>Apply coding-agent workflow to capstone + draft research replication report</t>
  </si>
  <si>
    <t>Framework-free runtime</t>
  </si>
  <si>
    <t>Interop + benchmark</t>
  </si>
  <si>
    <t>Cross-Vendor Agent Team + 100-task benchmark v2</t>
  </si>
  <si>
    <t>Flagship capstone + writing</t>
  </si>
  <si>
    <t>Deploy flagship system + publish architecture article</t>
  </si>
  <si>
    <t>Area</t>
  </si>
  <si>
    <t>Recommended Scope</t>
  </si>
  <si>
    <t>Why It Matters</t>
  </si>
  <si>
    <t>Proof / Practice</t>
  </si>
  <si>
    <t>Cadence</t>
  </si>
  <si>
    <t>URL</t>
  </si>
  <si>
    <t>Coding interviews</t>
  </si>
  <si>
    <t>3–5 problems/week in parallel</t>
  </si>
  <si>
    <t>Selective / 2–4 problems/week</t>
  </si>
  <si>
    <t>System design</t>
  </si>
  <si>
    <t>2–3 h/week</t>
  </si>
  <si>
    <t>ML/AI system design</t>
  </si>
  <si>
    <t>1 design every 1–2 weeks</t>
  </si>
  <si>
    <t>Agent architecture</t>
  </si>
  <si>
    <t>Selective / ~6 h total</t>
  </si>
  <si>
    <t>AI interview drills</t>
  </si>
  <si>
    <t>1 mock/week late in plan</t>
  </si>
  <si>
    <t>Algorithms foundations</t>
  </si>
  <si>
    <t>Parallel refresh</t>
  </si>
  <si>
    <t>Distributed systems</t>
  </si>
  <si>
    <t>1 topic/week</t>
  </si>
  <si>
    <t>Performance systems</t>
  </si>
  <si>
    <t>Optional depth</t>
  </si>
  <si>
    <t>Classical AI</t>
  </si>
  <si>
    <t>Selective</t>
  </si>
  <si>
    <t>AI foundations</t>
  </si>
  <si>
    <t>Selective / project-driven</t>
  </si>
  <si>
    <t>Resource / Paper</t>
  </si>
  <si>
    <t>Source</t>
  </si>
  <si>
    <t>Hands-on Activity</t>
  </si>
  <si>
    <t>Evidence</t>
  </si>
  <si>
    <t>The strongest research-oriented course in this plan: test-time scaling, robust verification, tool/code feedback, multi-step planning, RL scaling, self-improvement, memory, coding agents and long-horizon evals.</t>
  </si>
  <si>
    <t>Follow lectures + core readings; choose one topic for a controlled replication/ablation.</t>
  </si>
  <si>
    <t>Course notes + replication report</t>
  </si>
  <si>
    <t>Open</t>
  </si>
  <si>
    <t>Open paper</t>
  </si>
  <si>
    <t>When</t>
  </si>
  <si>
    <t>Retrieval fundamentals</t>
  </si>
  <si>
    <t>Agentic RAG</t>
  </si>
  <si>
    <t>Managed RAG</t>
  </si>
  <si>
    <t>Retrieval quality</t>
  </si>
  <si>
    <t>RAG evaluation</t>
  </si>
  <si>
    <t>Graph fundamentals</t>
  </si>
  <si>
    <t>GraphRAG architecture</t>
  </si>
  <si>
    <t>GraphRAG implementation</t>
  </si>
  <si>
    <t>Graph algorithms</t>
  </si>
  <si>
    <t>Distributed data systems</t>
  </si>
  <si>
    <t>Consistency concepts</t>
  </si>
  <si>
    <t>Domain</t>
  </si>
  <si>
    <t>Competency</t>
  </si>
  <si>
    <t>Target Level</t>
  </si>
  <si>
    <t>Current Level</t>
  </si>
  <si>
    <t>Readiness %</t>
  </si>
  <si>
    <t>Google Relevance</t>
  </si>
  <si>
    <t>Anthropic Relevance</t>
  </si>
  <si>
    <t>Evidence Required</t>
  </si>
  <si>
    <t>Primary Track</t>
  </si>
  <si>
    <t>Go to Track</t>
  </si>
  <si>
    <t>Key Master Items</t>
  </si>
  <si>
    <t>Target Date</t>
  </si>
  <si>
    <t>Assessment Standard</t>
  </si>
  <si>
    <t>Gap to Target</t>
  </si>
  <si>
    <t>Level Guide</t>
  </si>
  <si>
    <t>Software Engineering</t>
  </si>
  <si>
    <t>Python / production coding</t>
  </si>
  <si>
    <t>Clean tested repo; async/concurrency; APIs; typing; error handling; CI; code review quality.</t>
  </si>
  <si>
    <t>Master Plan</t>
  </si>
  <si>
    <t>Agent runtime; capstone; coding-agent workflow</t>
  </si>
  <si>
    <t>Can implement unfamiliar systems under time pressure and defend design/test choices.</t>
  </si>
  <si>
    <t>0=None | 1=Awareness | 2=Practitioner | 3=Advanced | 4=Independent mastery</t>
  </si>
  <si>
    <t>Algorithms</t>
  </si>
  <si>
    <t>Data structures &amp; algorithms</t>
  </si>
  <si>
    <t>LeetCode 75 diagnostic + timed mocks + complexity reasoning; 2–3 MIT problem sets.</t>
  </si>
  <si>
    <t>LeetCode 75; MIT 6.006; Top Interview 150</t>
  </si>
  <si>
    <t>Consistently solves medium interview problems with correct complexity and edge-case reasoning.</t>
  </si>
  <si>
    <t>Systems</t>
  </si>
  <si>
    <t>Design notes on consistency, replication, idempotency, retries, failure recovery; MIT 6.824 topics.</t>
  </si>
  <si>
    <t>MIT 6.824; production deployment; Spanner/TrueTime</t>
  </si>
  <si>
    <t>Can reason from failure models and consistency requirements, not pattern memorization.</t>
  </si>
  <si>
    <t>8–10 timed architecture designs with requirements, estimates, APIs, data model, tradeoffs and failure modes.</t>
  </si>
  <si>
    <t>Educative system design; capstone architecture</t>
  </si>
  <si>
    <t>Can drive a 45–60 minute senior system-design interview end to end.</t>
  </si>
  <si>
    <t>ML Foundations</t>
  </si>
  <si>
    <t>Classical ML / AI fundamentals</t>
  </si>
  <si>
    <t>Selective CS50 AI / MIT AI projects; explain search, optimization, uncertainty, learning and evaluation.</t>
  </si>
  <si>
    <t>CS50 AI; MIT 6.034</t>
  </si>
  <si>
    <t>Can connect classical search/learning concepts to modern agent behavior and limitations.</t>
  </si>
  <si>
    <t>LLM Foundations</t>
  </si>
  <si>
    <t>Transformers / inference / model behavior</t>
  </si>
  <si>
    <t>Technical notes covering attention, tokens, KV cache, prefill/decode, sampling, context, SFT/RLHF/RLAIF, inference cost.</t>
  </si>
  <si>
    <t>Context engineering; research papers; performance work</t>
  </si>
  <si>
    <t>Can explain model behavior and system consequences without relying on framework terminology.</t>
  </si>
  <si>
    <t>Agents</t>
  </si>
  <si>
    <t>Agent loop &amp; framework-free runtime</t>
  </si>
  <si>
    <t>2k–4k LOC minimal runtime with tool execution, state, retries, streaming, tracing and eval hooks.</t>
  </si>
  <si>
    <t>Build minimal agent runtime from scratch</t>
  </si>
  <si>
    <t>Can implement core agent machinery without ADK/LangGraph/CrewAI.</t>
  </si>
  <si>
    <t>Tool / function-call engineering</t>
  </si>
  <si>
    <t>Tool contracts, schema tests, A/B tool-selection evals, failure handling and permission boundaries.</t>
  </si>
  <si>
    <t>Tools &amp; grounding; Anthropic tool engineering</t>
  </si>
  <si>
    <t>Can design deterministic interfaces that nondeterministic agents use reliably.</t>
  </si>
  <si>
    <t>Protocols</t>
  </si>
  <si>
    <t>Production-style MCP server + multiple clients + auth/error handling + context/token benchmark.</t>
  </si>
  <si>
    <t>MCP fundamentals; MCP efficiency; MCP server deployment</t>
  </si>
  <si>
    <t>Can implement, debug and secure MCP outside a single framework.</t>
  </si>
  <si>
    <t>A2A / agent interoperability</t>
  </si>
  <si>
    <t>Cross-vendor ADK/Claude/pure-Python multi-agent system using A2A; agent cards/tasks/artifacts/streaming.</t>
  </si>
  <si>
    <t>A2A codelabs; agent protocol lab</t>
  </si>
  <si>
    <t>Can explain and implement agent-to-agent boundaries and interoperability.</t>
  </si>
  <si>
    <t>Multi-agent orchestration</t>
  </si>
  <si>
    <t>Implement router, sequential, parallel, supervisor and decentralized/shared-context variants; benchmark tradeoffs.</t>
  </si>
  <si>
    <t>ADK multi-agent; Anthropic research system; decentralized MAS paper</t>
  </si>
  <si>
    <t>Chooses multi-agent only when measured benefits justify coordination cost.</t>
  </si>
  <si>
    <t>Context</t>
  </si>
  <si>
    <t>State, memory &amp; context engineering</t>
  </si>
  <si>
    <t>State model + memory strategy + context budget + retrieval policy + multi-session recovery tests.</t>
  </si>
  <si>
    <t>State &amp; memory; Anthropic context engineering; long-running harness</t>
  </si>
  <si>
    <t>Can decide what enters context, when, why, for how long and at what cost.</t>
  </si>
  <si>
    <t>Grounding</t>
  </si>
  <si>
    <t>RAG / retrieval engineering</t>
  </si>
  <si>
    <t>Keyword/vector/hybrid/reranked benchmark; Recall@K/MRR/nDCG; grounded generation and citation evals.</t>
  </si>
  <si>
    <t>Vector search; Agentic RAG; reranking; RAG eval harness</t>
  </si>
  <si>
    <t>Diagnoses retrieval vs generation failures quantitatively.</t>
  </si>
  <si>
    <t>GraphRAG / graph modeling</t>
  </si>
  <si>
    <t>Property-graph schema + GQL + vector-vs-GraphRAG multi-hop benchmark.</t>
  </si>
  <si>
    <t>Spanner Graph; GraphRAG architecture; GraphRAG benchmark</t>
  </si>
  <si>
    <t>Knows when relationship-aware traversal adds value beyond vector retrieval.</t>
  </si>
  <si>
    <t>Data Systems</t>
  </si>
  <si>
    <t>Distributed data / Spanner concepts</t>
  </si>
  <si>
    <t>Spanner paper notes; TrueTime/external consistency failure analysis; apply guarantees to shared agent state.</t>
  </si>
  <si>
    <t>Spanner paper; TrueTime; graph data model</t>
  </si>
  <si>
    <t>Can connect database guarantees to autonomous concurrent workflows.</t>
  </si>
  <si>
    <t>Quality</t>
  </si>
  <si>
    <t>Agent evaluations</t>
  </si>
  <si>
    <t>100-task benchmark; trajectory/tool/argument graders; deterministic + LLM judges; regression suite; cost/latency.</t>
  </si>
  <si>
    <t>Agent eval methodology; benchmark capstone</t>
  </si>
  <si>
    <t>No quality claim without repeatable tasks, metrics and failure taxonomy.</t>
  </si>
  <si>
    <t>Operations</t>
  </si>
  <si>
    <t>Observability / AgentOps</t>
  </si>
  <si>
    <t>Traces/spans; tool-call telemetry; latency/tokens/cost/retries; failure diagnosis from traces.</t>
  </si>
  <si>
    <t>Observability &amp; callbacks; AgentOps; production capstone</t>
  </si>
  <si>
    <t>Can diagnose why an agent failed from evidence rather than saying 'hallucination'.</t>
  </si>
  <si>
    <t>Safety</t>
  </si>
  <si>
    <t>Security / governance / containment</t>
  </si>
  <si>
    <t>Threat model + prompt injection/tool poisoning/exfiltration tests + least privilege + sandbox/HITL controls.</t>
  </si>
  <si>
    <t>Governance; containment; red-team lab</t>
  </si>
  <si>
    <t>Can reason about blast radius, permissions, untrusted context and safe autonomy.</t>
  </si>
  <si>
    <t>Deployment / reliability</t>
  </si>
  <si>
    <t>Cloud Run/GKE/managed runtime deployment; CI/CD; rollback/runbook; auth; persistence; SLOs.</t>
  </si>
  <si>
    <t>Production deployment; cloud deployment; flagship capstone</t>
  </si>
  <si>
    <t>Can operate agents as production services, not notebooks.</t>
  </si>
  <si>
    <t>Performance</t>
  </si>
  <si>
    <t>Latency / throughput / cost engineering</t>
  </si>
  <si>
    <t>Profile agent path; parallelization; caching/context reduction; cost-quality curves; one measured optimization.</t>
  </si>
  <si>
    <t>MIT 6.172; MCP efficiency; CodeMonkeys</t>
  </si>
  <si>
    <t>Can quantify latency/cost bottlenecks and optimize without degrading task success.</t>
  </si>
  <si>
    <t>Agentic SDLC</t>
  </si>
  <si>
    <t>Coding agents / AI-assisted engineering</t>
  </si>
  <si>
    <t>CLAUDE.md/agent instructions + plan→implement→test→review workflow + measured before/after engineering results.</t>
  </si>
  <si>
    <t>Claude Code practices; Agents CLI; coding-agent workflow</t>
  </si>
  <si>
    <t>Uses coding agents with verification, permissions and reproducible workflows.</t>
  </si>
  <si>
    <t>Research</t>
  </si>
  <si>
    <t>Paper comprehension</t>
  </si>
  <si>
    <t>Weekly paper notes capturing question, method, assumptions, baselines, metrics, weaknesses and follow-ups.</t>
  </si>
  <si>
    <t>CS329A; Scaling Intelligence publications</t>
  </si>
  <si>
    <t>Can read a frontier paper critically and explain what evidence would falsify its claim.</t>
  </si>
  <si>
    <t>Experimental design / replication</t>
  </si>
  <si>
    <t>One controlled replication/ablation with hypothesis, baseline, intervention, metrics, error analysis and report.</t>
  </si>
  <si>
    <t>CS329A project; verifier/planning replication</t>
  </si>
  <si>
    <t>Produces evidence rather than demos; controls variables and interprets negative results.</t>
  </si>
  <si>
    <t>Self-improving agents / inference-time scaling</t>
  </si>
  <si>
    <t>Verifier benchmark + one planning/test-time compute experiment + understanding of weak-verifier limits.</t>
  </si>
  <si>
    <t>LLM-as-Verifier; Weaver; SPRINT; Archon; CodeMonkeys</t>
  </si>
  <si>
    <t>Can discuss current self-improvement techniques, assumptions, scaling behavior and failure modes.</t>
  </si>
  <si>
    <t>Technical communication / architecture judgment</t>
  </si>
  <si>
    <t>Architecture paper + ADRs + benchmark write-up + concise 5–10 minute technical explanation of tradeoffs.</t>
  </si>
  <si>
    <t>Technical write-up; system-design mocks; flagship capstone</t>
  </si>
  <si>
    <t>Explains complex systems clearly, states tradeoffs and distinguishes evidence from opinion.</t>
  </si>
  <si>
    <t>Competency Summary</t>
  </si>
  <si>
    <t>Readiness interpretation</t>
  </si>
  <si>
    <t>Overall readiness</t>
  </si>
  <si>
    <t>0–49%</t>
  </si>
  <si>
    <t>Foundations / evidence still developing</t>
  </si>
  <si>
    <t>At target</t>
  </si>
  <si>
    <t>50–74%</t>
  </si>
  <si>
    <t>Working proficiency; needs stronger evidence</t>
  </si>
  <si>
    <t>Interview ready</t>
  </si>
  <si>
    <t>75–99%</t>
  </si>
  <si>
    <t>Near target; close remaining gaps</t>
  </si>
  <si>
    <t>Total competencies</t>
  </si>
  <si>
    <t>100%</t>
  </si>
  <si>
    <t>Target-level evidence demonstrated</t>
  </si>
  <si>
    <t>Revision, Source of Truth &amp; Future Refresh Guide</t>
  </si>
  <si>
    <t>Purpose: preserve the reasoning behind this workbook, maintain an auditable source hierarchy, and make a future six-month refresh possible with one prompt instead of repeating the entire discovery process.</t>
  </si>
  <si>
    <t>1. Workbook Identity / Design Intent</t>
  </si>
  <si>
    <t>Field</t>
  </si>
  <si>
    <t>Maintenance note</t>
  </si>
  <si>
    <t>Workbook</t>
  </si>
  <si>
    <t>Agentic AI Mastery Worksheet</t>
  </si>
  <si>
    <t>Built by</t>
  </si>
  <si>
    <t>ChatGPT — GPT-5.6 Sol</t>
  </si>
  <si>
    <t>Generated iteratively from the user's requirements; treat Revision as the maintenance contract.</t>
  </si>
  <si>
    <t>Initial build window</t>
  </si>
  <si>
    <t>September 4–5, 2026 (America/Chicago)</t>
  </si>
  <si>
    <t>Inferred from the conversation and generated artifact sequence; not a cryptographic audit trail.</t>
  </si>
  <si>
    <t>Formal program start</t>
  </si>
  <si>
    <t>October 1, 2026</t>
  </si>
  <si>
    <t>20 seven-day study blocks.</t>
  </si>
  <si>
    <t>Original program end</t>
  </si>
  <si>
    <t>February 17, 2027</t>
  </si>
  <si>
    <t>Preserve this historical baseline even if a future refresh rolls unfinished work forward.</t>
  </si>
  <si>
    <t>Next formal six-month audit</t>
  </si>
  <si>
    <t>March 5, 2027</t>
  </si>
  <si>
    <t>Use the master refresh prompt below; refresh sooner if a major protocol/framework release materially changes the plan.</t>
  </si>
  <si>
    <t>Primary goal</t>
  </si>
  <si>
    <t>Become independently strong enough in agent/AI systems engineering to compete for Google / Anthropic-caliber engineering roles.</t>
  </si>
  <si>
    <t>Optimize for engineering depth, measurable evidence, systems judgment and research fluency—not badge count.</t>
  </si>
  <si>
    <t>Learning operating model</t>
  </si>
  <si>
    <t>~30% structured learning / ~70% building, breaking, evaluating, deploying and writing.</t>
  </si>
  <si>
    <t>Every major resource should produce evidence.</t>
  </si>
  <si>
    <t>User context</t>
  </si>
  <si>
    <t>Chief AI and Software Architect; CLI-heavy; ChatGPT Plus/Codex; GEAR + Google Developer Program; Udemy, LinkedIn Learning, LeetCode and Educative subscriptions.</t>
  </si>
  <si>
    <t>Do not assume a Claude subscription is required; use Anthropic API/Claude Code only when it adds distinct learning value.</t>
  </si>
  <si>
    <t>2. Version History — Reverse Engineered from This Conversation</t>
  </si>
  <si>
    <t>Version</t>
  </si>
  <si>
    <t>Date</t>
  </si>
  <si>
    <t>What changed</t>
  </si>
  <si>
    <t>Design decision / why</t>
  </si>
  <si>
    <t>Artifact lineage</t>
  </si>
  <si>
    <t>v1</t>
  </si>
  <si>
    <t>Sep 4, 2026</t>
  </si>
  <si>
    <t>Initial consolidated agentic-AI worksheet: Google Skills/GEAR, Codelabs, Maurizio ADK, Anthropic, LinkedIn Learning, Udemy, YouTube; ~50 roadmap items, 16 labs, 20-week plan.</t>
  </si>
  <si>
    <t>Courses are inputs; hands-on evidence is the output.</t>
  </si>
  <si>
    <t>agentic_ai_mastery_worksheet.xlsx</t>
  </si>
  <si>
    <t>Superseded</t>
  </si>
  <si>
    <t>v2</t>
  </si>
  <si>
    <t>Priority labels changed to VERY HIGH / HIGH / MEDIUM; hyperlinks audited; Kaggle + Google intensives added; roadmap expanded.</t>
  </si>
  <si>
    <t>Prefer plain-language priority tiers; treat Kaggle Google intensives as first-party hands-on reinforcement.</t>
  </si>
  <si>
    <t>agentic_ai_mastery_worksheet_v2.xlsx</t>
  </si>
  <si>
    <t>v3</t>
  </si>
  <si>
    <t>Added LeetCode/Educative/MIT/Harvard interview/foundations track and Stanford CS329A / Scaling Intelligence research track.</t>
  </si>
  <si>
    <t>Separate agent-engineering curriculum from CS/interview foundations and frontier research.</t>
  </si>
  <si>
    <t>agentic_ai_mastery_worksheet_v3.xlsx</t>
  </si>
  <si>
    <t>v4</t>
  </si>
  <si>
    <t>Sep 5, 2026</t>
  </si>
  <si>
    <t>Added Master Plan, Data + RAG Track, GraphRAG/Spanner concepts, internal navigation and wider link repair.</t>
  </si>
  <si>
    <t>Use one canonical ordered plan; RAG/GraphRAG/data systems are production competencies, not optional trivia.</t>
  </si>
  <si>
    <t>agentic_ai_mastery_worksheet_v4.xlsx</t>
  </si>
  <si>
    <t>v5</t>
  </si>
  <si>
    <t>Added 25-competency readiness matrix and anchored dates to Oct 1, 2026 → Feb 17, 2027.</t>
  </si>
  <si>
    <t>Measure readiness through independent evidence, not course completion.</t>
  </si>
  <si>
    <t>agentic_ai_mastery_worksheet_v5.xlsx</t>
  </si>
  <si>
    <t>v6</t>
  </si>
  <si>
    <t>Added this Revision/SOT/maintenance sheet and a reusable six-month refresh prompt.</t>
  </si>
  <si>
    <t>Future updates must preserve history, completed evidence, notes and competency scores while replacing stale content.</t>
  </si>
  <si>
    <t>agentic_ai_mastery_worksheet_v6.xlsx</t>
  </si>
  <si>
    <t>v7</t>
  </si>
  <si>
    <t>Re-audited Platform Library links; converted the library to a dedicated native clickable Open Link column, retained canonical/raw URLs, and added validation date/status/notes.</t>
  </si>
  <si>
    <t>Link usability must be explicit and independently auditable; avoid relying on spreadsheet viewers to auto-link plain URL text.</t>
  </si>
  <si>
    <t>agentic_ai_mastery_worksheet_v7.xlsx</t>
  </si>
  <si>
    <t>Current</t>
  </si>
  <si>
    <t>3. Source of Truth (SOT) Registry &amp; Precedence</t>
  </si>
  <si>
    <t>Tier</t>
  </si>
  <si>
    <t>Source / Portal</t>
  </si>
  <si>
    <t>Trust for</t>
  </si>
  <si>
    <t>Refresh cadence</t>
  </si>
  <si>
    <t>Precedence / caveat</t>
  </si>
  <si>
    <t>Last verified</t>
  </si>
  <si>
    <t>T0 — Protocol</t>
  </si>
  <si>
    <t>Model Context Protocol specification</t>
  </si>
  <si>
    <t>https://modelcontextprotocol.io/specification/2026-07-28</t>
  </si>
  <si>
    <t>MCP protocol requirements, security, transports, extensions, SDK compatibility</t>
  </si>
  <si>
    <t>Before MCP labs + every formal refresh</t>
  </si>
  <si>
    <t>Protocol spec overrides courses, videos and framework wrappers. At workbook creation, current spec = 2026-07-28.</t>
  </si>
  <si>
    <t>Authoritative</t>
  </si>
  <si>
    <t>Agent2Agent (A2A) latest specification</t>
  </si>
  <si>
    <t>https://a2a-protocol.org/latest/specification</t>
  </si>
  <si>
    <t>A2A protocol, agent cards, task lifecycle, bindings, extensions, security</t>
  </si>
  <si>
    <t>Before A2A labs + every formal refresh</t>
  </si>
  <si>
    <t>Always resolve /latest; at workbook creation the released standard is 1.0.0. Ignore older tutorial behavior if it conflicts.</t>
  </si>
  <si>
    <t>T1 — Vendor</t>
  </si>
  <si>
    <t>https://www.skills.google/</t>
  </si>
  <si>
    <t>Current Google agent learning paths, badges, course structure</t>
  </si>
  <si>
    <t>Quarterly / formal refresh</t>
  </si>
  <si>
    <t>Primary curriculum source for Google ecosystem. Verify paths/course IDs; do not assume old URLs remain canonical.</t>
  </si>
  <si>
    <t>https://codelabs.developers.google.com/</t>
  </si>
  <si>
    <t>Current hands-on Google labs</t>
  </si>
  <si>
    <t>Quarterly / before assigned lab</t>
  </si>
  <si>
    <t>Prefer current codelab over screenshots/blog summaries. Recheck prerequisites and product names.</t>
  </si>
  <si>
    <t>Google Agent Development Kit docs</t>
  </si>
  <si>
    <t>https://adk.dev/</t>
  </si>
  <si>
    <t>ADK APIs, supported languages, deployment, tools, evaluation, Agent Skills</t>
  </si>
  <si>
    <t>Monthly during active ADK work</t>
  </si>
  <si>
    <t>Documentation/version behavior overrides training repo examples.</t>
  </si>
  <si>
    <t>Google Cloud / Vertex AI documentation</t>
  </si>
  <si>
    <t>https://docs.cloud.google.com/</t>
  </si>
  <si>
    <t>Vertex AI, Agent Engine, RAG Engine, Spanner/Spanner Graph, IAM, deployment</t>
  </si>
  <si>
    <t>Before production/RAG/data labs</t>
  </si>
  <si>
    <t>Use docs and Architecture Center for product behavior. Price/feature availability must be freshly checked.</t>
  </si>
  <si>
    <t>Kaggle + Google Learn Guides</t>
  </si>
  <si>
    <t>Google-authored hands-on notebooks, intensives and capstones</t>
  </si>
  <si>
    <t>Formal refresh</t>
  </si>
  <si>
    <t>Use Google-authored intensives as practice; do not let them duplicate completed core work.</t>
  </si>
  <si>
    <t>Agent patterns, context, tools, evals, security, long-running harnesses</t>
  </si>
  <si>
    <t>Monthly / formal refresh</t>
  </si>
  <si>
    <t>First-party engineering lessons; distinguish product guidance from protocol standards.</t>
  </si>
  <si>
    <t>Claude Code documentation</t>
  </si>
  <si>
    <t>https://code.claude.com/docs</t>
  </si>
  <si>
    <t>Claude Code workflows, permissions, agentic coding practices</t>
  </si>
  <si>
    <t>Before Claude Code comparison labs</t>
  </si>
  <si>
    <t>Use only if Claude Code is part of a deliberate cross-vendor comparison; subscription not required for the overall plan.</t>
  </si>
  <si>
    <t>OpenAI Developers / Codex</t>
  </si>
  <si>
    <t>https://developers.openai.com/</t>
  </si>
  <si>
    <t>Codex CLI/SDK, coding-agent workflows, OpenAI developer guidance</t>
  </si>
  <si>
    <t>Monthly during CLI-heavy work</t>
  </si>
  <si>
    <t>Primary SOT for the user's existing ChatGPT Plus/Codex workflow. Recheck current CLI capabilities and plan boundaries.</t>
  </si>
  <si>
    <t>T1 — Academic</t>
  </si>
  <si>
    <t>Stanford CS329A</t>
  </si>
  <si>
    <t>Self-improving agents, readings, research-project bar</t>
  </si>
  <si>
    <t>Each offering / formal refresh</t>
  </si>
  <si>
    <t>Course site + primary papers override summaries. Preserve research replication requirement.</t>
  </si>
  <si>
    <t>Current agent/self-improvement papers</t>
  </si>
  <si>
    <t>Monthly during research phase</t>
  </si>
  <si>
    <t>Prefer primary paper/arXiv + code over commentary.</t>
  </si>
  <si>
    <t>https://ocw.mit.edu/</t>
  </si>
  <si>
    <t>Algorithms, distributed systems, performance, classical AI foundations</t>
  </si>
  <si>
    <t>Yearly / as needed</t>
  </si>
  <si>
    <t>Stable foundation source; age alone does not invalidate fundamentals, but pair older systems courses with current production practice.</t>
  </si>
  <si>
    <t>Harvard CS50 AI</t>
  </si>
  <si>
    <t>Hands-on classical AI/ML foundations in Python</t>
  </si>
  <si>
    <t>Yearly</t>
  </si>
  <si>
    <t>Use selectively as a gap detector for an experienced engineer.</t>
  </si>
  <si>
    <t>T2 — Practice</t>
  </si>
  <si>
    <t>LeetCode Study Plans</t>
  </si>
  <si>
    <t>Coding interview practice and diagnostics</t>
  </si>
  <si>
    <t>Quarterly during interview prep</t>
  </si>
  <si>
    <t>Practice source, not architecture SOT. Avoid blind problem-count optimization.</t>
  </si>
  <si>
    <t>Primary practice</t>
  </si>
  <si>
    <t>https://www.educative.io/system-design-courses</t>
  </si>
  <si>
    <t>System design / ML system design / agentic design interview practice</t>
  </si>
  <si>
    <t>Quarterly</t>
  </si>
  <si>
    <t>Use selectively for interview structure and mocks; current official product docs override architectural specifics.</t>
  </si>
  <si>
    <t>T2 — Subscription</t>
  </si>
  <si>
    <t>https://www.linkedin.com/learning/</t>
  </si>
  <si>
    <t>Curated cross-vendor courses, eval/governance/recovery gap filling</t>
  </si>
  <si>
    <t>Only retain modules that close a competency gap. Do not duplicate first-party material.</t>
  </si>
  <si>
    <t>https://www.udemy.com/</t>
  </si>
  <si>
    <t>Project-based cross-framework breadth</t>
  </si>
  <si>
    <t>Instructor freshness varies; validate framework/API versions before assigning. Select projects, not entire catalogs.</t>
  </si>
  <si>
    <t>T2 — Official video</t>
  </si>
  <si>
    <t>YouTube — official Google/Anthropic/OpenAI channels</t>
  </si>
  <si>
    <t>https://www.youtube.com/</t>
  </si>
  <si>
    <t>Conference talks, recorded walkthroughs, conceptual reinforcement</t>
  </si>
  <si>
    <t>As needed</t>
  </si>
  <si>
    <t>Video is reinforcement, not SOT for APIs/specs. Only add if it teaches something not better covered elsewhere.</t>
  </si>
  <si>
    <t>T3 — Community</t>
  </si>
  <si>
    <t>Maurizio Ipsale ADK Training</t>
  </si>
  <si>
    <t>Deep, structured hands-on ADK practice</t>
  </si>
  <si>
    <t>Monthly during ADK phase</t>
  </si>
  <si>
    <t>High-value community/GDE resource; always reconcile with current ADK docs when examples differ.</t>
  </si>
  <si>
    <t>Supplemental</t>
  </si>
  <si>
    <t>4. Change-Control Rules — What a Future Refresh Must Preserve</t>
  </si>
  <si>
    <t>Rule</t>
  </si>
  <si>
    <t>Required behavior</t>
  </si>
  <si>
    <t>Why</t>
  </si>
  <si>
    <t>Preserve history</t>
  </si>
  <si>
    <t>Never overwrite prior completion dates, Status, Notes, evidence links, Current Level scores or prior version history. Append a new version entry.</t>
  </si>
  <si>
    <t>The workbook is both a plan and a learning record.</t>
  </si>
  <si>
    <t>Roll forward, do not reset</t>
  </si>
  <si>
    <t>If unfinished work remains after Feb 17, 2027, create a revised remaining-work schedule while retaining the original Oct 1–Feb 17 baseline.</t>
  </si>
  <si>
    <t>Protects comparability between plan and actual progress.</t>
  </si>
  <si>
    <t>Official &gt; derived</t>
  </si>
  <si>
    <t>When official specs/docs conflict with a course, video, blog or repo, update the workbook to the official behavior and mark the older resource as stale/legacy.</t>
  </si>
  <si>
    <t>Avoids learning deprecated APIs/protocol behavior.</t>
  </si>
  <si>
    <t>No curriculum inflation</t>
  </si>
  <si>
    <t>Do not add a resource merely because it exists. It must close a competency gap, replace stale material, or materially outperform an existing resource.</t>
  </si>
  <si>
    <t>The limiting factor is deliberate practice, not content availability.</t>
  </si>
  <si>
    <t>Evidence gate</t>
  </si>
  <si>
    <t>Every VERY HIGH/HIGH learning item must lead to code, evals, a design artifact, benchmark, deployment, red-team output, research note or timed interview evidence.</t>
  </si>
  <si>
    <t>Completion without evidence does not increase readiness.</t>
  </si>
  <si>
    <t>30/70 guardrail</t>
  </si>
  <si>
    <t>Keep structured consumption near 30% and hands-on engineering near 70%. If the update adds &gt;10 learning hours, identify what is removed or downgraded.</t>
  </si>
  <si>
    <t>Prevents subscription/catalog accumulation.</t>
  </si>
  <si>
    <t>Keep MCP/A2A and framework-free runtime knowledge independent of ADK/LangGraph/CrewAI/Claude/OpenAI wrappers.</t>
  </si>
  <si>
    <t>Frameworks change faster than architecture concepts.</t>
  </si>
  <si>
    <t>Cross-vendor by design</t>
  </si>
  <si>
    <t>Maintain at least one project that uses two model vendors and one framework-free component, with measured comparison rather than brand preference.</t>
  </si>
  <si>
    <t>Shows transferable agent engineering judgment.</t>
  </si>
  <si>
    <t>Measure RAG separately</t>
  </si>
  <si>
    <t>Retain retrieval metrics (Recall@K/MRR/nDCG), groundedness/citation evaluation and GraphRAG comparison; do not collapse everything into end-answer judging.</t>
  </si>
  <si>
    <t>Makes retrieval failures diagnosable.</t>
  </si>
  <si>
    <t>Research means experiments</t>
  </si>
  <si>
    <t>Keep at least one paper replication/ablation. Reading papers alone should not satisfy the research competency.</t>
  </si>
  <si>
    <t>Frontier roles reward experimental judgment.</t>
  </si>
  <si>
    <t>Portfolio concentration</t>
  </si>
  <si>
    <t>Prefer ~4 excellent repositories plus a small number of research/benchmark artifacts over dozens of tutorial repositories.</t>
  </si>
  <si>
    <t>Signal quality &gt; artifact count.</t>
  </si>
  <si>
    <t>Link hygiene</t>
  </si>
  <si>
    <t>Audit every external URL during a formal refresh; replace redirects/deprecated paths with canonical links and mark inaccessible subscription resources explicitly.</t>
  </si>
  <si>
    <t>Avoids a plan that decays silently.</t>
  </si>
  <si>
    <t>5. Formal Refresh Checklist</t>
  </si>
  <si>
    <t>Check</t>
  </si>
  <si>
    <t>Pass condition</t>
  </si>
  <si>
    <t>If failed</t>
  </si>
  <si>
    <t>Suggested cadence</t>
  </si>
  <si>
    <t>Owner</t>
  </si>
  <si>
    <t>Last run</t>
  </si>
  <si>
    <t>Result</t>
  </si>
  <si>
    <t>Read Revision first</t>
  </si>
  <si>
    <t>Future assistant explicitly preserves history and applies SOT precedence.</t>
  </si>
  <si>
    <t>Stop and restart from the master prompt.</t>
  </si>
  <si>
    <t>Every formal refresh</t>
  </si>
  <si>
    <t>ChatGPT + user</t>
  </si>
  <si>
    <t>Baseline</t>
  </si>
  <si>
    <t>Audit MCP and A2A versions</t>
  </si>
  <si>
    <t>Latest released specs identified; breaking/deprecated concepts mapped to affected labs.</t>
  </si>
  <si>
    <t>Update protocol labs and notes before anything else.</t>
  </si>
  <si>
    <t>Monthly / refresh</t>
  </si>
  <si>
    <t>ChatGPT</t>
  </si>
  <si>
    <t>MCP 2026-07-28; A2A 1.0.0</t>
  </si>
  <si>
    <t>Audit ADK / Google agent stack</t>
  </si>
  <si>
    <t>Current ADK docs, Skills/GEAR paths, Codelabs and Agent Engine concepts verified.</t>
  </si>
  <si>
    <t>Replace stale APIs/courses and adjust hands-on tasks.</t>
  </si>
  <si>
    <t>Quarterly / refresh</t>
  </si>
  <si>
    <t>Audit Anthropic/OpenAI coding-agent changes</t>
  </si>
  <si>
    <t>Current Claude Code and Codex workflows checked; only meaningful deltas added.</t>
  </si>
  <si>
    <t>Update comparison labs; avoid adding duplicate tool-specific content.</t>
  </si>
  <si>
    <t>Audit current Google/Anthropic role signals</t>
  </si>
  <si>
    <t>Review a representative sample of current engineering/research job descriptions and official hiring material.</t>
  </si>
  <si>
    <t>Update competencies only when patterns recur across roles; do not overfit one posting.</t>
  </si>
  <si>
    <t>Pending future audit</t>
  </si>
  <si>
    <t>Audit URLs</t>
  </si>
  <si>
    <t>No confirmed broken required links; canonical redirects normalized.</t>
  </si>
  <si>
    <t>Repair URLs or mark resource deprecated.</t>
  </si>
  <si>
    <t>Platform Library: 62/62 destinations validated Sep 5, 2026; no confirmed broken links.</t>
  </si>
  <si>
    <t>Audit duplication</t>
  </si>
  <si>
    <t>Each new resource has a unique reason to exist.</t>
  </si>
  <si>
    <t>Remove/downgrade overlapping courses.</t>
  </si>
  <si>
    <t>Re-score competency matrix</t>
  </si>
  <si>
    <t>Current Level reflects evidence actually produced; target levels remain role-relevant.</t>
  </si>
  <si>
    <t>Ask for evidence or keep score unchanged.</t>
  </si>
  <si>
    <t>User + ChatGPT</t>
  </si>
  <si>
    <t>Initialized</t>
  </si>
  <si>
    <t>Rebuild remaining-work dates</t>
  </si>
  <si>
    <t>New schedule respects completed work and realistic weekly capacity.</t>
  </si>
  <si>
    <t>Create revised dates, do not rewrite history.</t>
  </si>
  <si>
    <t>Original plan Oct 1–Feb 17</t>
  </si>
  <si>
    <t>Publish revision diff</t>
  </si>
  <si>
    <t>Revision sheet records what was added, removed, replaced, reprioritized and why.</t>
  </si>
  <si>
    <t>Do not ship the updated workbook without a diff.</t>
  </si>
  <si>
    <t>v6 baseline</t>
  </si>
  <si>
    <t>6. COPY-READY MASTER REFRESH PROMPT — use this with the workbook attached</t>
  </si>
  <si>
    <t>Master prompt (copy the full text from cell B below):</t>
  </si>
  <si>
    <t>You are updating an existing Excel workbook called “Agentic AI Mastery Worksheet”. Treat the attached workbook as a persistent learning system and historical record, NOT as a blank template.
ROLE
Act as a principal AI/agent systems curriculum architect, senior software/AI systems interviewer, research mentor, and spreadsheet maintainer. Your job is to refresh the workbook for current reality while preserving the user’s accumulated evidence and history.
USER / GOAL CONTEXT
- User is a Chief AI and Software Architect.
- Goal: reach independent engineering/research depth competitive with Google, Anthropic, and similarly demanding AI/agent systems teams.
- User is CLI-heavy and already has ChatGPT Plus/Codex. Do not require an additional Claude subscription to make the roadmap work; Claude Code/API should be included only when it teaches a distinct cross-vendor capability.
- User participates in Google GEAR and Google Developer Program.
- User has access to Google Skills, Google Codelabs, Kaggle, Udemy, LinkedIn Learning, LeetCode and Educative.
- The original study program starts October 1, 2026 and ends February 17, 2027. Preserve that baseline even if you roll unfinished work forward.
- Core principle: approximately 30% learning/reading and 70% building, breaking, evaluating, deploying, benchmarking and writing.
- Portfolio quality and measurable evidence matter more than badge/course count.
FIRST ACTIONS
1. Read the “Revision” worksheet completely.
2. Read “Master Plan”, “Competency Matrix”, “20-Week Plan”, “Roadmap”, “Hands-On Labs”, “Data + RAG Track”, “CS + Interview Track”, “Stanford Research Track”, and “Platform Library”.
3. Preserve all user-entered Status fields, completion evidence, dates, Notes, Current Level scores, custom annotations, and prior Revision/version history.
4. Do NOT silently reset a competency score or completed item because the curriculum changed.
FRESH WEB / SOURCE AUDIT — REQUIRED
Browse current authoritative sources before making recommendations. Use the Source of Truth hierarchy in the Revision sheet.
At minimum, verify:
- Latest Model Context Protocol specification and migration/deprecation notes.
- Latest Agent2Agent (A2A) released specification and notable breaking changes.
- Current Google ADK documentation, supported languages/features, Agent Skills, eval/observability/deployment guidance.
- Current Google Skills/GEAR agent learning paths and relevant Google Codelabs.
- Current Vertex AI / Agent Engine / RAG Engine / Spanner Graph guidance when those topics remain relevant.
- Current Kaggle + Google agent intensive materials if still available.
- Current Anthropic Engineering articles, Claude Code best practices, context/tool/eval/security/long-running-agent guidance.
- Current OpenAI/Codex CLI/SDK/workflow guidance because the user is CLI-heavy and already uses ChatGPT Plus/Codex.
- Current Stanford CS329A and Scaling Intelligence research material.
- Current MIT OCW / Harvard CS50 resources only if the underlying course pages changed.
- Current LeetCode/Educative/LinkedIn Learning/Udemy offerings only to determine whether they still fill a gap.
- A representative sample of CURRENT Google and Anthropic engineering/research job descriptions or official hiring signals. Extract recurring competencies; do not overfit to a single posting.
SOURCE PRECEDENCE
1. Protocol specifications / standards + primary research papers.
2. Official vendor product documentation and first-party engineering material.
3. Official first-party training/codelabs.
4. University course sites / primary research labs.
5. LeetCode/Educative/LinkedIn/Udemy curated practice.
6. Official YouTube talks as reinforcement.
7. Community repos/blogs.
If a lower-tier source conflicts with a higher-tier source, the higher-tier source wins and the workbook must say why the lower-tier item was changed or deprecated.
AUDIT THE EXISTING CURRICULUM
For every existing required/high-priority item, determine one of:
KEEP — still current and uniquely valuable.
UPDATE — same resource, but hands-on proof/URL/version must change.
REPLACE — stale or weaker than a newer authoritative resource.
DOWNGRADE — useful but redundant.
REMOVE/ARCHIVE — obsolete, broken or no longer contributes to a competency.
Do not delete historical evidence. Archive/deprecate cleanly and record the reason.
ANTI-CURRICULUM-INFLATION RULE
Do not add a course simply because you found it. A new resource must:
(a) close a competency gap,
(b) replace something stale,
(c) materially increase technical depth,
(d) supply a better hands-on lab, or
(e) reflect a durable shift in the field.
If you add more than ~10 net learning hours, explicitly remove/downgrade other material or explain the workload tradeoff.
TECHNICAL COVERAGE THAT MUST REMAIN
Maintain strong evidence-oriented coverage for:
- Python/software engineering, algorithms, distributed systems and senior system design.
- LLM fundamentals: tokens, attention, KV cache, prefill/decode, sampling, context, instruction tuning/RL, inference economics.
- Framework-free agent loop/runtime.
- Tool/function-call engineering.
- MCP and A2A independent of any one framework.
- Single vs multi-agent architecture and measured orchestration tradeoffs.
- State, memory, context engineering and long-running-agent continuity.
- RAG: chunking, embeddings, hybrid retrieval, reranking, retrieval metrics, groundedness/citations.
- Graph/GraphRAG and distributed-data concepts where they add real architectural value.
- Agent evals: task sets, trajectory/tool/argument grading, deterministic graders, LLM judges, regression, latency/tokens/cost.
- Observability / AgentOps.
- Security: prompt injection, tool poisoning, exfiltration, least privilege, sandboxing, HITL, blast-radius containment.
- Deployment/reliability/CI/CD.
- Coding agents and CLI workflows.
- Research paper comprehension and at least one controlled replication/ablation.
- Technical communication / architecture judgment.
EVIDENCE RULE
A VERY HIGH or HIGH item should normally result in at least one of:
- runnable code,
- tests/evals,
- benchmark,
- architecture/ADR,
- deployment/runbook,
- security/red-team report,
- research reproduction/ablation,
- timed interview artifact,
- technical paper/article.
Watching/reading alone does not justify “mastery”.
PORTFOLIO RULE
Prefer approximately four excellent repositories and a few benchmark/research artifacts over many tutorial repos:
1. framework-free agent runtime,
2. protocol/interoperability lab (MCP + A2A + multiple vendors),
3. eval/benchmark repository,
4. production multi-agent flagship.
Update these only if a stronger portfolio structure is justified.
CROSS-VENDOR RULE
The curriculum must not overfit to Google ADK, Anthropic, or OpenAI. Keep at least one project where:
- different model vendors are interchangeable,
- protocols are implemented directly,
- one component is framework-free,
- results are compared using quality/cost/latency/reliability metrics.
RAG / GRAPH RULE
Do not treat “RAG” as one box. Separate retrieval quality from answer generation. Preserve retrieval metrics such as Recall@K, MRR and/or nDCG plus groundedness/citation correctness. Keep GraphRAG only where multi-hop relationships or graph structure demonstrate measured benefit over vector-only retrieval.
RESEARCH RULE
Research competency requires experiments. Retain or improve at least one paper replication/ablation. A paper-reading list by itself is insufficient.
COMPETENCY MATRIX UPDATE
For each competency:
- preserve user Current Level unless new evidence supplied,
- review Target Level against current target-role signals,
- update evidence required and target date if necessary,
- map the strongest current Master Plan items,
- identify the smallest set of actions needed to close the gap.
Do not claim “Interview Ready” without evidence.
SCHEDULE UPDATE
If the original program has already begun or ended:
- retain the original Oct 1, 2026–Feb 17, 2027 schedule as history,
- generate a “remaining work / next phase” schedule based only on unfinished high-value items and current competency gaps,
- do not make past dates look as though they were always planned differently.
Use realistic weekly capacity and keep parallel interview work from crowding out building/evals.
LINK AUDIT
Validate all required external URLs. Normalize canonical redirects. Mark subscription/login-gated resources but do not call them broken merely because they require authentication. Repair stale links. Prefer stable landing pages for sources that frequently change IDs.
WORKBOOK OUTPUT
Update the existing workbook rather than making a new unrelated structure.
At minimum update:
- Revision: append a new version row with date, major changes and rationale.
- Master Plan: revised canonical sequence and dates.
- Competency Matrix: gaps and evidence mappings.
- Platform Library: current canonical URLs and deprecated-resource notes.
- Relevant domain tracks/labs.
- Dashboard KPIs if formulas/ranges changed.
Preserve internal navigation and clickable links.
FINAL QUALITY GATES
Before exporting:
- no obvious formula errors,
- no duplicate required resources without a stated reason,
- no required broken links,
- no historical data overwritten,
- every VERY HIGH/HIGH item has evidence,
- the workload is feasible,
- the refresh diff is documented,
- sources are cited in the workbook through URLs,
- the workbook remains readable and navigable.
DELIVERABLE
Return one revised .xlsx named with the next version number and provide a concise change summary:
1. what was added,
2. what was removed/replaced,
3. what was reprioritized,
4. which protocol/product changes mattered,
5. which competency gaps should receive the next 8–12 weeks of attention.
Do not ask me to rediscover or restate the subscriptions, program goal, original start date, source hierarchy, or operating principles that are already recorded in the Revision sheet. Use the workbook as the source of context.</t>
  </si>
  <si>
    <t>7. How to Use This in Six Months</t>
  </si>
  <si>
    <t>Step</t>
  </si>
  <si>
    <t>Action</t>
  </si>
  <si>
    <t>Expected output</t>
  </si>
  <si>
    <t>Attach the latest .xlsx to a new ChatGPT conversation.</t>
  </si>
  <si>
    <t>ChatGPT reads Revision first and treats it as persistent context.</t>
  </si>
  <si>
    <t>Copy/paste the full prompt from the Master Prompt cell above.</t>
  </si>
  <si>
    <t>No need to repeat subscriptions, goals or source lists.</t>
  </si>
  <si>
    <t>Add one sentence with the new constraint, e.g. “Refresh this as of March 2027; I completed X/Y/Z and can spend 8 hours/week.”</t>
  </si>
  <si>
    <t>Refresh is personalized without redoing discovery.</t>
  </si>
  <si>
    <t>Ask for a current-source audit and a vNext workbook—not a prose-only roadmap.</t>
  </si>
  <si>
    <t>Updated artifact + change log.</t>
  </si>
  <si>
    <t>Review the Revision diff before accepting changed priorities/dates.</t>
  </si>
  <si>
    <t>Human judgment remains the final gate.</t>
  </si>
  <si>
    <t>Keep the old workbook version rather than overwriting it.</t>
  </si>
  <si>
    <t>You retain an audit trail of how the curriculum evolved.</t>
  </si>
  <si>
    <t>8. Early-Refresh Triggers</t>
  </si>
  <si>
    <t>Trigger</t>
  </si>
  <si>
    <t>Why it matters</t>
  </si>
  <si>
    <t>MCP or A2A major/breaking release</t>
  </si>
  <si>
    <t>Protocol labs can become technically wrong quickly.</t>
  </si>
  <si>
    <t>Audit spec + affected labs immediately; do not wait six months.</t>
  </si>
  <si>
    <t>Google ADK major version / major API restructuring</t>
  </si>
  <si>
    <t>Training examples, deployment and Agent Skills behavior may change.</t>
  </si>
  <si>
    <t>Reconcile all ADK-heavy rows against current docs.</t>
  </si>
  <si>
    <t>Major Codex / Claude Code agent-workflow change</t>
  </si>
  <si>
    <t>CLI practices, permissions, skills/harness patterns may move quickly.</t>
  </si>
  <si>
    <t>Update coding-agent comparison only if capability is durable and measurable.</t>
  </si>
  <si>
    <t>A course/link is deprecated or renamed</t>
  </si>
  <si>
    <t>Broken learning flow creates avoidable friction.</t>
  </si>
  <si>
    <t>Replace with canonical source and log the change.</t>
  </si>
  <si>
    <t>Target role changes</t>
  </si>
  <si>
    <t>Research engineer, AI systems engineer and product architect require different depth profiles.</t>
  </si>
  <si>
    <t>Re-score Target Levels before adding courses.</t>
  </si>
  <si>
    <t>Competency plateau</t>
  </si>
  <si>
    <t>Many courses completed but Current Level/evidence is not improving.</t>
  </si>
  <si>
    <t>Stop adding material; assign a harder project/eval/research experiment.</t>
  </si>
  <si>
    <t>Available weekly hours change materially</t>
  </si>
  <si>
    <t>An unrealistic schedule is worse than a shorter focused one.</t>
  </si>
  <si>
    <t>Roll forward unfinished VERY HIGH items and reduce parallel work.</t>
  </si>
  <si>
    <t>9. Workbook Navigation</t>
  </si>
  <si>
    <t>Worksheet</t>
  </si>
  <si>
    <t>Purpose</t>
  </si>
  <si>
    <t>Canonical ordered sequence</t>
  </si>
  <si>
    <t>Dashboard</t>
  </si>
  <si>
    <t>High-level KPIs and operating rules</t>
  </si>
  <si>
    <t>Competency Matrix</t>
  </si>
  <si>
    <t>Readiness / evidence gaps</t>
  </si>
  <si>
    <t>Core agent-engineering resources</t>
  </si>
  <si>
    <t>Hands-On Labs</t>
  </si>
  <si>
    <t>Build/benchmark/project deliverables</t>
  </si>
  <si>
    <t>RAG, GraphRAG, Spanner/data systems</t>
  </si>
  <si>
    <t>Algorithms/system design/interview prep</t>
  </si>
  <si>
    <t>Frontier research / replication</t>
  </si>
  <si>
    <t>Platform Library</t>
  </si>
  <si>
    <t>Resource registry and URLs</t>
  </si>
  <si>
    <t>20-Week Plan</t>
  </si>
  <si>
    <t>Original Oct 1–Feb 17 timebox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</si>
</sst>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mmm\ d\,\ yyyy"/>
  </numFmts>
  <fonts count="9">
    <font>
      <sz val="11"/>
      <name val="Carlito"/>
    </font>
    <font>
      <b/>
      <sz val="20"/>
      <color rgb="FFFFFFFF"/>
      <name val="Carlito"/>
    </font>
    <font>
      <i/>
      <sz val="11"/>
      <color rgb="FF17365D"/>
      <name val="Carlito"/>
    </font>
    <font>
      <b/>
      <sz val="11"/>
      <color rgb="FFFFFFFF"/>
      <name val="Carlito"/>
    </font>
    <font>
      <sz val="11"/>
      <color rgb="FF0563C1"/>
      <name val="Carlito"/>
    </font>
    <font>
      <b/>
      <sz val="11"/>
      <color rgb="FF0563C1"/>
      <name val="Carlito"/>
    </font>
    <font>
      <b/>
      <sz val="11"/>
      <name val="Carlito"/>
    </font>
    <font>
      <b/>
      <sz val="16"/>
      <color rgb="FFFFFFFF"/>
      <name val="Carlito"/>
    </font>
    <font>
      <b/>
      <sz val="11"/>
      <color rgb="FF17365D"/>
      <name val="Carlito"/>
    </font>
  </fonts>
  <fills count="14">
    <fill>
      <patternFill patternType="none"/>
    </fill>
    <fill>
      <patternFill patternType="gray125"/>
    </fill>
    <fill>
      <patternFill patternType="solid">
        <fgColor rgb="FF0B1F33"/>
      </patternFill>
    </fill>
    <fill>
      <patternFill patternType="solid">
        <fgColor rgb="FFE8F0FE"/>
      </patternFill>
    </fill>
    <fill>
      <patternFill patternType="solid">
        <fgColor rgb="FF17365D"/>
      </patternFill>
    </fill>
    <fill>
      <patternFill patternType="solid">
        <fgColor rgb="FF1F4E78"/>
      </patternFill>
    </fill>
    <fill>
      <patternFill patternType="solid">
        <fgColor rgb="FF1F4E78"/>
      </patternFill>
    </fill>
    <fill>
      <patternFill patternType="solid">
        <fgColor rgb="FF1F4E78"/>
      </patternFill>
    </fill>
    <fill>
      <patternFill patternType="solid">
        <fgColor rgb="FFD9EAF7"/>
      </patternFill>
    </fill>
    <fill>
      <patternFill patternType="solid">
        <fgColor rgb="FF17365D"/>
      </patternFill>
    </fill>
    <fill>
      <patternFill patternType="solid">
        <fgColor rgb="FFD9EAF7"/>
      </patternFill>
    </fill>
    <fill>
      <patternFill patternType="solid">
        <fgColor rgb="FF1F4E78"/>
      </patternFill>
    </fill>
    <fill>
      <patternFill patternType="solid">
        <fgColor rgb="FF1F4E78"/>
      </patternFill>
    </fill>
    <fill>
      <patternFill patternType="solid">
        <fgColor theme="9" tint="0.79998168889431442"/>
        <bgColor indexed="64"/>
      </patternFill>
    </fill>
  </fills>
  <borders count="1">
    <border>
      <left/>
      <right/>
      <top/>
      <bottom/>
      <diagonal/>
    </border>
  </borders>
  <cellStyleXfs count="1">
    <xf numFmtId="0" fontId="0" fillId="0" borderId="0"/>
  </cellStyleXfs>
  <cellXfs count="32">
    <xf numFmtId="0" fontId="0" fillId="0" borderId="0" xfId="0"/>
    <xf numFmtId="0" fontId="0" fillId="0" borderId="0" xfId="0" applyAlignment="1">
      <alignment wrapText="1"/>
    </xf>
    <xf numFmtId="0" fontId="3" fillId="4" borderId="0" xfId="0" applyFont="1" applyFill="1" applyAlignment="1">
      <alignment horizontal="center" vertical="center" wrapText="1"/>
    </xf>
    <xf numFmtId="0" fontId="3" fillId="4" borderId="0" xfId="0" applyFont="1" applyFill="1" applyAlignment="1">
      <alignment horizontal="center" vertical="top" wrapText="1"/>
    </xf>
    <xf numFmtId="0" fontId="0" fillId="0" borderId="0" xfId="0" applyAlignment="1">
      <alignment vertical="top" wrapText="1"/>
    </xf>
    <xf numFmtId="0" fontId="0" fillId="0" borderId="0" xfId="0" applyAlignment="1">
      <alignment horizontal="center" vertical="top" wrapText="1"/>
    </xf>
    <xf numFmtId="164" fontId="0" fillId="0" borderId="0" xfId="0" applyNumberFormat="1" applyAlignment="1">
      <alignment horizontal="center" vertical="top" wrapText="1"/>
    </xf>
    <xf numFmtId="0" fontId="4" fillId="0" borderId="0" xfId="0" applyFont="1" applyAlignment="1">
      <alignment vertical="top" wrapText="1"/>
    </xf>
    <xf numFmtId="0" fontId="4" fillId="0" borderId="0" xfId="0" applyFont="1" applyAlignment="1">
      <alignment wrapText="1"/>
    </xf>
    <xf numFmtId="0" fontId="3" fillId="5" borderId="0" xfId="0" applyFont="1" applyFill="1" applyAlignment="1">
      <alignment horizontal="center" vertical="center" wrapText="1"/>
    </xf>
    <xf numFmtId="0" fontId="3" fillId="6" borderId="0" xfId="0" applyFont="1" applyFill="1" applyAlignment="1">
      <alignment horizontal="center" vertical="center" wrapText="1"/>
    </xf>
    <xf numFmtId="0" fontId="5" fillId="4" borderId="0" xfId="0" applyFont="1" applyFill="1" applyAlignment="1">
      <alignment horizontal="center" vertical="top" wrapText="1"/>
    </xf>
    <xf numFmtId="0" fontId="5" fillId="0" borderId="0" xfId="0" applyFont="1"/>
    <xf numFmtId="165" fontId="0" fillId="0" borderId="0" xfId="0" applyNumberFormat="1"/>
    <xf numFmtId="0" fontId="3" fillId="7" borderId="0" xfId="0" applyFont="1" applyFill="1" applyAlignment="1">
      <alignment horizontal="center" vertical="center"/>
    </xf>
    <xf numFmtId="0" fontId="3" fillId="7" borderId="0" xfId="0" applyFont="1" applyFill="1" applyAlignment="1">
      <alignment horizontal="center" vertical="center" wrapText="1"/>
    </xf>
    <xf numFmtId="165" fontId="0" fillId="0" borderId="0" xfId="0" applyNumberFormat="1" applyAlignment="1">
      <alignment wrapText="1"/>
    </xf>
    <xf numFmtId="9" fontId="0" fillId="0" borderId="0" xfId="0" applyNumberFormat="1" applyAlignment="1">
      <alignment wrapText="1"/>
    </xf>
    <xf numFmtId="9" fontId="0" fillId="0" borderId="0" xfId="0" applyNumberFormat="1"/>
    <xf numFmtId="0" fontId="6" fillId="8" borderId="0" xfId="0" applyFont="1" applyFill="1"/>
    <xf numFmtId="0" fontId="3" fillId="7" borderId="0" xfId="0" applyFont="1" applyFill="1" applyAlignment="1">
      <alignment wrapText="1"/>
    </xf>
    <xf numFmtId="0" fontId="3" fillId="11" borderId="0" xfId="0" applyFont="1" applyFill="1" applyAlignment="1">
      <alignment horizontal="center" vertical="center" wrapText="1"/>
    </xf>
    <xf numFmtId="0" fontId="5" fillId="0" borderId="0" xfId="0" applyFont="1" applyAlignment="1">
      <alignment wrapText="1"/>
    </xf>
    <xf numFmtId="0" fontId="6" fillId="0" borderId="0" xfId="0" applyFont="1" applyAlignment="1">
      <alignment wrapText="1"/>
    </xf>
    <xf numFmtId="0" fontId="3" fillId="12" borderId="0" xfId="0" applyFont="1" applyFill="1" applyAlignment="1">
      <alignment horizontal="center" vertical="center" wrapText="1"/>
    </xf>
    <xf numFmtId="0" fontId="0" fillId="13" borderId="0" xfId="0" applyFill="1" applyAlignment="1">
      <alignment horizontal="center" vertical="top" wrapText="1"/>
    </xf>
    <xf numFmtId="0" fontId="0" fillId="0" borderId="0" xfId="0" applyAlignment="1">
      <alignment wrapText="1"/>
    </xf>
    <xf numFmtId="0" fontId="1" fillId="2" borderId="0" xfId="0" applyFont="1" applyFill="1" applyAlignment="1">
      <alignment horizontal="left" vertical="center" wrapText="1"/>
    </xf>
    <xf numFmtId="0" fontId="2" fillId="3" borderId="0" xfId="0" applyFont="1" applyFill="1" applyAlignment="1">
      <alignment vertical="center" wrapText="1"/>
    </xf>
    <xf numFmtId="0" fontId="3" fillId="4" borderId="0" xfId="0" applyFont="1" applyFill="1" applyAlignment="1">
      <alignment horizontal="center" vertical="center" wrapText="1"/>
    </xf>
    <xf numFmtId="0" fontId="8" fillId="10" borderId="0" xfId="0" applyFont="1" applyFill="1" applyAlignment="1">
      <alignment vertical="center" wrapText="1"/>
    </xf>
    <xf numFmtId="0" fontId="7" fillId="9" borderId="0" xfId="0" applyFont="1" applyFill="1" applyAlignment="1">
      <alignment vertical="center" wrapText="1"/>
    </xf>
  </cellXfs>
  <cellStyles count="1">
    <cellStyle name="Normal" xfId="0" builtinId="0"/>
  </cellStyles>
  <dxfs count="22">
    <dxf>
      <fill>
        <patternFill>
          <bgColor rgb="FFFFF2CC"/>
        </patternFill>
      </fill>
    </dxf>
    <dxf>
      <fill>
        <patternFill>
          <bgColor rgb="FFFCE5CD"/>
        </patternFill>
      </fill>
    </dxf>
    <dxf>
      <font>
        <b/>
      </font>
      <fill>
        <patternFill>
          <bgColor rgb="FFF4CCCC"/>
        </patternFill>
      </fill>
    </dxf>
    <dxf>
      <fill>
        <patternFill>
          <bgColor rgb="FFFCE5CD"/>
        </patternFill>
      </fill>
    </dxf>
    <dxf>
      <font>
        <b/>
      </font>
      <fill>
        <patternFill>
          <bgColor rgb="FFF4CCCC"/>
        </patternFill>
      </fill>
    </dxf>
    <dxf>
      <fill>
        <patternFill>
          <bgColor rgb="FFFFF2CC"/>
        </patternFill>
      </fill>
    </dxf>
    <dxf>
      <fill>
        <patternFill>
          <bgColor rgb="FFFCE5CD"/>
        </patternFill>
      </fill>
    </dxf>
    <dxf>
      <font>
        <b/>
      </font>
      <fill>
        <patternFill>
          <bgColor rgb="FFF4CCCC"/>
        </patternFill>
      </fill>
    </dxf>
    <dxf>
      <font>
        <b/>
        <color rgb="FF274E13"/>
      </font>
      <fill>
        <patternFill patternType="solid">
          <bgColor rgb="FFD9EAD3"/>
        </patternFill>
      </fill>
    </dxf>
    <dxf>
      <font>
        <b/>
        <color rgb="FF92400E"/>
      </font>
      <fill>
        <patternFill>
          <bgColor rgb="FFFEF3C7"/>
        </patternFill>
      </fill>
    </dxf>
    <dxf>
      <font>
        <b/>
        <color rgb="FF166534"/>
      </font>
      <fill>
        <patternFill>
          <bgColor rgb="FFDCFCE7"/>
        </patternFill>
      </fill>
    </dxf>
    <dxf>
      <font>
        <color rgb="FF6B7280"/>
      </font>
      <fill>
        <patternFill>
          <bgColor rgb="FFF3F4F6"/>
        </patternFill>
      </fill>
    </dxf>
    <dxf>
      <font>
        <b/>
        <color rgb="FF92400E"/>
      </font>
      <fill>
        <patternFill>
          <bgColor rgb="FFFEF3C7"/>
        </patternFill>
      </fill>
    </dxf>
    <dxf>
      <font>
        <b/>
        <color rgb="FF166534"/>
      </font>
      <fill>
        <patternFill>
          <bgColor rgb="FFDCFCE7"/>
        </patternFill>
      </fill>
    </dxf>
    <dxf>
      <font>
        <color rgb="FF92400E"/>
      </font>
      <fill>
        <patternFill>
          <bgColor rgb="FFFEF3C7"/>
        </patternFill>
      </fill>
    </dxf>
    <dxf>
      <font>
        <b/>
        <color rgb="FF991B1B"/>
      </font>
      <fill>
        <patternFill>
          <bgColor rgb="FFFEE2E2"/>
        </patternFill>
      </fill>
    </dxf>
    <dxf>
      <font>
        <b/>
        <color rgb="FF075985"/>
      </font>
      <fill>
        <patternFill>
          <bgColor rgb="FFE0F2FE"/>
        </patternFill>
      </fill>
    </dxf>
    <dxf>
      <font>
        <b/>
        <color rgb="FF92400E"/>
      </font>
      <fill>
        <patternFill>
          <bgColor rgb="FFFEF3C7"/>
        </patternFill>
      </fill>
    </dxf>
    <dxf>
      <font>
        <b/>
        <color rgb="FF991B1B"/>
      </font>
      <fill>
        <patternFill>
          <bgColor rgb="FFFDE2E2"/>
        </patternFill>
      </fill>
    </dxf>
    <dxf>
      <fill>
        <patternFill>
          <bgColor rgb="FFFFF2CC"/>
        </patternFill>
      </fill>
    </dxf>
    <dxf>
      <fill>
        <patternFill>
          <bgColor rgb="FFFCE5CD"/>
        </patternFill>
      </fill>
    </dxf>
    <dxf>
      <font>
        <b/>
      </font>
      <fill>
        <patternFill>
          <bgColor rgb="FFF4CC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a:t>Roadmap Items by Provider</a:t>
            </a:r>
          </a:p>
        </c:rich>
      </c:tx>
      <c:overlay val="1"/>
    </c:title>
    <c:autoTitleDeleted val="0"/>
    <c:plotArea>
      <c:layout/>
      <c:barChart>
        <c:barDir val="col"/>
        <c:grouping val="clustered"/>
        <c:varyColors val="0"/>
        <c:ser>
          <c:idx val="0"/>
          <c:order val="0"/>
          <c:tx>
            <c:v>Roadmap Items</c:v>
          </c:tx>
          <c:invertIfNegative val="1"/>
          <c:cat>
            <c:strRef>
              <c:f>Dashboard!$A$13:$A$23</c:f>
              <c:strCache>
                <c:ptCount val="11"/>
                <c:pt idx="0">
                  <c:v>Google Skills / GEAR</c:v>
                </c:pt>
                <c:pt idx="1">
                  <c:v>Google Codelabs</c:v>
                </c:pt>
                <c:pt idx="2">
                  <c:v>Maurizio Ipsale</c:v>
                </c:pt>
                <c:pt idx="3">
                  <c:v>Anthropic Engineering</c:v>
                </c:pt>
                <c:pt idx="4">
                  <c:v>LinkedIn Learning</c:v>
                </c:pt>
                <c:pt idx="5">
                  <c:v>Udemy</c:v>
                </c:pt>
                <c:pt idx="6">
                  <c:v>YouTube — Anthropic</c:v>
                </c:pt>
                <c:pt idx="7">
                  <c:v>YouTube — Google for Developers</c:v>
                </c:pt>
                <c:pt idx="8">
                  <c:v>Kaggle + Google</c:v>
                </c:pt>
                <c:pt idx="9">
                  <c:v>Google ADK Docs</c:v>
                </c:pt>
                <c:pt idx="10">
                  <c:v>Self-directed</c:v>
                </c:pt>
              </c:strCache>
            </c:strRef>
          </c:cat>
          <c:val>
            <c:numRef>
              <c:f>Dashboard!$B$13:$B$23</c:f>
              <c:numCache>
                <c:formatCode>General</c:formatCode>
                <c:ptCount val="11"/>
                <c:pt idx="0">
                  <c:v>5</c:v>
                </c:pt>
                <c:pt idx="1">
                  <c:v>7</c:v>
                </c:pt>
                <c:pt idx="2">
                  <c:v>9</c:v>
                </c:pt>
                <c:pt idx="3">
                  <c:v>9</c:v>
                </c:pt>
                <c:pt idx="4">
                  <c:v>7</c:v>
                </c:pt>
                <c:pt idx="5">
                  <c:v>2</c:v>
                </c:pt>
                <c:pt idx="6">
                  <c:v>2</c:v>
                </c:pt>
                <c:pt idx="7">
                  <c:v>3</c:v>
                </c:pt>
                <c:pt idx="8">
                  <c:v>2</c:v>
                </c:pt>
                <c:pt idx="9">
                  <c:v>1</c:v>
                </c:pt>
                <c:pt idx="10">
                  <c:v>5</c:v>
                </c:pt>
              </c:numCache>
            </c:numRef>
          </c:val>
          <c:extLst>
            <c:ext xmlns:c16="http://schemas.microsoft.com/office/drawing/2014/chart" uri="{C3380CC4-5D6E-409C-BE32-E72D297353CC}">
              <c16:uniqueId val="{00000000-D48B-9947-BC2F-396EF8D83074}"/>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0</xdr:colOff>
      <xdr:row>4</xdr:row>
      <xdr:rowOff>0</xdr:rowOff>
    </xdr:from>
    <xdr:to>
      <xdr:col>14</xdr:col>
      <xdr:colOff>0</xdr:colOff>
      <xdr:row>18</xdr:row>
      <xdr:rowOff>0</xdr:rowOff>
    </xdr:to>
    <xdr:graphicFrame macro="">
      <xdr:nvGraphicFramePr>
        <xdr:cNvPr id="2" name="Chart">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oadmapTable" displayName="RoadmapTable" ref="A1:N51" totalsRowShown="0">
  <tableColumns count="14">
    <tableColumn id="1" xr3:uid="{00000000-0010-0000-0000-000001000000}" name="Stage"/>
    <tableColumn id="2" xr3:uid="{00000000-0010-0000-0000-000002000000}" name="Order"/>
    <tableColumn id="3" xr3:uid="{00000000-0010-0000-0000-000003000000}" name="Week"/>
    <tableColumn id="4" xr3:uid="{00000000-0010-0000-0000-000004000000}" name="Topic"/>
    <tableColumn id="5" xr3:uid="{00000000-0010-0000-0000-000005000000}" name="Resource"/>
    <tableColumn id="6" xr3:uid="{00000000-0010-0000-0000-000006000000}" name="Provider"/>
    <tableColumn id="7" xr3:uid="{00000000-0010-0000-0000-000007000000}" name="Type"/>
    <tableColumn id="8" xr3:uid="{00000000-0010-0000-0000-000008000000}" name="Priority"/>
    <tableColumn id="9" xr3:uid="{00000000-0010-0000-0000-000009000000}" name="Est. Hours"/>
    <tableColumn id="10" xr3:uid="{00000000-0010-0000-0000-00000A000000}" name="Target Outcome"/>
    <tableColumn id="11" xr3:uid="{00000000-0010-0000-0000-00000B000000}" name="Hands-on Proof"/>
    <tableColumn id="12" xr3:uid="{00000000-0010-0000-0000-00000C000000}" name="Portfolio Evidence"/>
    <tableColumn id="13" xr3:uid="{00000000-0010-0000-0000-00000D000000}" name="Status"/>
    <tableColumn id="14" xr3:uid="{00000000-0010-0000-0000-00000E000000}" name="URL"/>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LabsTable" displayName="LabsTable" ref="A1:I17" totalsRowShown="0">
  <tableColumns count="9">
    <tableColumn id="1" xr3:uid="{00000000-0010-0000-0100-000001000000}" name="#"/>
    <tableColumn id="2" xr3:uid="{00000000-0010-0000-0100-000002000000}" name="Lab"/>
    <tableColumn id="3" xr3:uid="{00000000-0010-0000-0100-000003000000}" name="Focus"/>
    <tableColumn id="4" xr3:uid="{00000000-0010-0000-0100-000004000000}" name="Activity"/>
    <tableColumn id="5" xr3:uid="{00000000-0010-0000-0100-000005000000}" name="Acceptance Criteria"/>
    <tableColumn id="6" xr3:uid="{00000000-0010-0000-0100-000006000000}" name="Evidence / Repo"/>
    <tableColumn id="7" xr3:uid="{00000000-0010-0000-0100-000007000000}" name="Target Week"/>
    <tableColumn id="8" xr3:uid="{00000000-0010-0000-0100-000008000000}" name="Est. Hours"/>
    <tableColumn id="9" xr3:uid="{00000000-0010-0000-0100-000009000000}" name="Statu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LibraryTable" displayName="LibraryTable" ref="A1:E43" totalsRowShown="0">
  <tableColumns count="5">
    <tableColumn id="1" xr3:uid="{00000000-0010-0000-0200-000001000000}" name="Provider"/>
    <tableColumn id="2" xr3:uid="{00000000-0010-0000-0200-000002000000}" name="Resource"/>
    <tableColumn id="3" xr3:uid="{00000000-0010-0000-0200-000003000000}" name="Format / Duration"/>
    <tableColumn id="4" xr3:uid="{00000000-0010-0000-0200-000004000000}" name="Use"/>
    <tableColumn id="5" xr3:uid="{00000000-0010-0000-0200-000005000000}" name="URL"/>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PlanTable" displayName="PlanTable" ref="A1:E21" totalsRowShown="0">
  <tableColumns count="5">
    <tableColumn id="1" xr3:uid="{00000000-0010-0000-0300-000001000000}" name="Week"/>
    <tableColumn id="2" xr3:uid="{00000000-0010-0000-0300-000002000000}" name="Theme"/>
    <tableColumn id="3" xr3:uid="{00000000-0010-0000-0300-000003000000}" name="Primary Inputs"/>
    <tableColumn id="4" xr3:uid="{00000000-0010-0000-0300-000004000000}" name="Hands-On Deliverable"/>
    <tableColumn id="5" xr3:uid="{00000000-0010-0000-0300-000005000000}" name="Target Hour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www.skills.google/paths/3877" TargetMode="External"/><Relationship Id="rId21" Type="http://schemas.openxmlformats.org/officeDocument/2006/relationships/hyperlink" Target="https://www.linkedin.com/learning/introduction-to-model-context-protocol-by-anthropic" TargetMode="External"/><Relationship Id="rId42" Type="http://schemas.openxmlformats.org/officeDocument/2006/relationships/hyperlink" Target="https://www.linkedin.com/learning/governing-ai-agents-visibility-and-control" TargetMode="External"/><Relationship Id="rId47" Type="http://schemas.openxmlformats.org/officeDocument/2006/relationships/hyperlink" Target="https://leetcode.com/studyplan/top-interview-150/" TargetMode="External"/><Relationship Id="rId63" Type="http://schemas.openxmlformats.org/officeDocument/2006/relationships/hyperlink" Target="https://www.anthropic.com/engineering/effective-harnesses-for-long-running-agents" TargetMode="External"/><Relationship Id="rId68" Type="http://schemas.openxmlformats.org/officeDocument/2006/relationships/hyperlink" Target="https://arxiv.org/abs/2607.05391" TargetMode="External"/><Relationship Id="rId16" Type="http://schemas.openxmlformats.org/officeDocument/2006/relationships/hyperlink" Target="https://www.linkedin.com/learning/model-context-protocol-mcp-hands-on-with-agentic-ai" TargetMode="External"/><Relationship Id="rId11" Type="http://schemas.openxmlformats.org/officeDocument/2006/relationships/hyperlink" Target="https://github.com/mauripsale/doc-adk-training" TargetMode="External"/><Relationship Id="rId32" Type="http://schemas.openxmlformats.org/officeDocument/2006/relationships/hyperlink" Target="https://codelabs.developers.google.com/codelabs/spanner-graph-getting-started?hl=en" TargetMode="External"/><Relationship Id="rId37" Type="http://schemas.openxmlformats.org/officeDocument/2006/relationships/hyperlink" Target="https://github.com/mauripsale/doc-adk-training" TargetMode="External"/><Relationship Id="rId53" Type="http://schemas.openxmlformats.org/officeDocument/2006/relationships/hyperlink" Target="https://www.educative.io/courses/agentic-ai-systems" TargetMode="External"/><Relationship Id="rId58" Type="http://schemas.openxmlformats.org/officeDocument/2006/relationships/hyperlink" Target="https://adk.dev/tutorials/coding-with-ai/" TargetMode="External"/><Relationship Id="rId74" Type="http://schemas.openxmlformats.org/officeDocument/2006/relationships/hyperlink" Target="https://arxiv.org/abs/2506.05745" TargetMode="External"/><Relationship Id="rId79" Type="http://schemas.openxmlformats.org/officeDocument/2006/relationships/hyperlink" Target="https://arxiv.org/abs/2501.14723" TargetMode="External"/><Relationship Id="rId5" Type="http://schemas.openxmlformats.org/officeDocument/2006/relationships/hyperlink" Target="https://leetcode.com/studyplan/leetcode-75/" TargetMode="External"/><Relationship Id="rId61" Type="http://schemas.openxmlformats.org/officeDocument/2006/relationships/hyperlink" Target="https://scalingintelligence.stanford.edu/pubs/" TargetMode="External"/><Relationship Id="rId19" Type="http://schemas.openxmlformats.org/officeDocument/2006/relationships/hyperlink" Target="https://codelabs.developers.google.com/codelabs/production-ready-ai-with-gc/7-advanced-agent-capabilities/building-agents-with-retrieval-augmented-generation?hl=en" TargetMode="External"/><Relationship Id="rId14" Type="http://schemas.openxmlformats.org/officeDocument/2006/relationships/hyperlink" Target="https://www.skills.google/paths/183/course_templates/939" TargetMode="External"/><Relationship Id="rId22" Type="http://schemas.openxmlformats.org/officeDocument/2006/relationships/hyperlink" Target="https://github.com/mauripsale/doc-adk-training" TargetMode="External"/><Relationship Id="rId27" Type="http://schemas.openxmlformats.org/officeDocument/2006/relationships/hyperlink" Target="https://codelabs.developers.google.com/next26/adk-agent2agent" TargetMode="External"/><Relationship Id="rId30" Type="http://schemas.openxmlformats.org/officeDocument/2006/relationships/hyperlink" Target="https://codelabs.developers.google.com/ai-creative-studio-adk-a2a?hl=en" TargetMode="External"/><Relationship Id="rId35" Type="http://schemas.openxmlformats.org/officeDocument/2006/relationships/hyperlink" Target="https://docs.cloud.google.com/architecture/gen-ai-graphrag-spanner" TargetMode="External"/><Relationship Id="rId43" Type="http://schemas.openxmlformats.org/officeDocument/2006/relationships/hyperlink" Target="https://www.linkedin.com/learning/operating-ai-agents-failure-and-recovery" TargetMode="External"/><Relationship Id="rId48" Type="http://schemas.openxmlformats.org/officeDocument/2006/relationships/hyperlink" Target="https://codelabs.developers.google.com/governance-context-part2" TargetMode="External"/><Relationship Id="rId56" Type="http://schemas.openxmlformats.org/officeDocument/2006/relationships/hyperlink" Target="https://www.skills.google/paths/4459/course_templates/1842" TargetMode="External"/><Relationship Id="rId64" Type="http://schemas.openxmlformats.org/officeDocument/2006/relationships/hyperlink" Target="https://www.kaggle.com/learn-guide/5-day-agents-vibecoding" TargetMode="External"/><Relationship Id="rId69" Type="http://schemas.openxmlformats.org/officeDocument/2006/relationships/hyperlink" Target="https://www.udemy.com/course/agentic-ai-architectures-with-patterns-frameworks-and-mcp/" TargetMode="External"/><Relationship Id="rId77" Type="http://schemas.openxmlformats.org/officeDocument/2006/relationships/hyperlink" Target="https://www.youtube.com/watch?v=44C8u0CDtSo" TargetMode="External"/><Relationship Id="rId8" Type="http://schemas.openxmlformats.org/officeDocument/2006/relationships/hyperlink" Target="https://cs50.harvard.edu/ai/" TargetMode="External"/><Relationship Id="rId51" Type="http://schemas.openxmlformats.org/officeDocument/2006/relationships/hyperlink" Target="https://github.com/mauripsale/doc-adk-training" TargetMode="External"/><Relationship Id="rId72" Type="http://schemas.openxmlformats.org/officeDocument/2006/relationships/hyperlink" Target="https://arxiv.org/abs/2606.10662" TargetMode="External"/><Relationship Id="rId80" Type="http://schemas.openxmlformats.org/officeDocument/2006/relationships/hyperlink" Target="https://arxiv.org/abs/2409.15254" TargetMode="External"/><Relationship Id="rId3" Type="http://schemas.openxmlformats.org/officeDocument/2006/relationships/hyperlink" Target="https://codelabs.developers.google.com/devsite/codelabs/build-agents-with-adk-foundation" TargetMode="External"/><Relationship Id="rId12" Type="http://schemas.openxmlformats.org/officeDocument/2006/relationships/hyperlink" Target="https://www.anthropic.com/engineering/writing-tools-for-agents" TargetMode="External"/><Relationship Id="rId17" Type="http://schemas.openxmlformats.org/officeDocument/2006/relationships/hyperlink" Target="https://mauripsale.github.io/doc-adk-training/docs/" TargetMode="External"/><Relationship Id="rId25" Type="http://schemas.openxmlformats.org/officeDocument/2006/relationships/hyperlink" Target="https://ocw.mit.edu/courses/6-824-distributed-computer-systems-engineering-spring-2006/" TargetMode="External"/><Relationship Id="rId33" Type="http://schemas.openxmlformats.org/officeDocument/2006/relationships/hyperlink" Target="https://mauripsale.github.io/doc-adk-training/docs/" TargetMode="External"/><Relationship Id="rId38" Type="http://schemas.openxmlformats.org/officeDocument/2006/relationships/hyperlink" Target="https://www.linkedin.com/learning/ai-evaluations-foundations-and-practical-examples" TargetMode="External"/><Relationship Id="rId46" Type="http://schemas.openxmlformats.org/officeDocument/2006/relationships/hyperlink" Target="https://docs.cloud.google.com/spanner/docs/true-time-external-consistency" TargetMode="External"/><Relationship Id="rId59" Type="http://schemas.openxmlformats.org/officeDocument/2006/relationships/hyperlink" Target="https://www.anthropic.com/engineering/advanced-tool-use" TargetMode="External"/><Relationship Id="rId67" Type="http://schemas.openxmlformats.org/officeDocument/2006/relationships/hyperlink" Target="https://cs329a.stanford.edu/pastprojects.html" TargetMode="External"/><Relationship Id="rId20" Type="http://schemas.openxmlformats.org/officeDocument/2006/relationships/hyperlink" Target="https://www.anthropic.com/engineering/code-execution-with-mcp" TargetMode="External"/><Relationship Id="rId41" Type="http://schemas.openxmlformats.org/officeDocument/2006/relationships/hyperlink" Target="https://mauripsale.github.io/doc-adk-training/docs/" TargetMode="External"/><Relationship Id="rId54" Type="http://schemas.openxmlformats.org/officeDocument/2006/relationships/hyperlink" Target="https://ocw.mit.edu/courses/6-172-performance-engineering-of-software-systems-fall-2018/" TargetMode="External"/><Relationship Id="rId62" Type="http://schemas.openxmlformats.org/officeDocument/2006/relationships/hyperlink" Target="https://www.achowhery.com/" TargetMode="External"/><Relationship Id="rId70" Type="http://schemas.openxmlformats.org/officeDocument/2006/relationships/hyperlink" Target="https://www.linkedin.com/learning/paths/building-agentic-ai-systems-for-developers" TargetMode="External"/><Relationship Id="rId75" Type="http://schemas.openxmlformats.org/officeDocument/2006/relationships/hyperlink" Target="https://code.claude.com/docs/en/best-practices" TargetMode="External"/><Relationship Id="rId1" Type="http://schemas.openxmlformats.org/officeDocument/2006/relationships/hyperlink" Target="https://www.skills.google/course_templates/1585" TargetMode="External"/><Relationship Id="rId6" Type="http://schemas.openxmlformats.org/officeDocument/2006/relationships/hyperlink" Target="https://ocw.mit.edu/courses/6-006-introduction-to-algorithms-fall-2011/" TargetMode="External"/><Relationship Id="rId15" Type="http://schemas.openxmlformats.org/officeDocument/2006/relationships/hyperlink" Target="https://www.educative.io/courses/grokking-the-system-design-interview" TargetMode="External"/><Relationship Id="rId23" Type="http://schemas.openxmlformats.org/officeDocument/2006/relationships/hyperlink" Target="https://docs.cloud.google.com/vertex-ai/generative-ai/docs/rag-quickstart" TargetMode="External"/><Relationship Id="rId28" Type="http://schemas.openxmlformats.org/officeDocument/2006/relationships/hyperlink" Target="https://www.linkedin.com/learning/hands-on-ai-building-ai-agents-with-model-context-protocol-mcp-and-agent2agent-a2a" TargetMode="External"/><Relationship Id="rId36" Type="http://schemas.openxmlformats.org/officeDocument/2006/relationships/hyperlink" Target="https://www.educative.io/courses/grokking-the-machine-learning-system-design-interview" TargetMode="External"/><Relationship Id="rId49" Type="http://schemas.openxmlformats.org/officeDocument/2006/relationships/hyperlink" Target="https://www.anthropic.com/engineering/how-we-contain-claude" TargetMode="External"/><Relationship Id="rId57" Type="http://schemas.openxmlformats.org/officeDocument/2006/relationships/hyperlink" Target="https://github.com/mauripsale/doc-adk-training" TargetMode="External"/><Relationship Id="rId10" Type="http://schemas.openxmlformats.org/officeDocument/2006/relationships/hyperlink" Target="https://codelabs.developers.google.com/devsite/codelabs/build-agents-with-adk-empowering-with-tools" TargetMode="External"/><Relationship Id="rId31" Type="http://schemas.openxmlformats.org/officeDocument/2006/relationships/hyperlink" Target="https://www.anthropic.com/engineering/multi-agent-research-system" TargetMode="External"/><Relationship Id="rId44" Type="http://schemas.openxmlformats.org/officeDocument/2006/relationships/hyperlink" Target="https://www.kaggle.com/learn-guide/5-day-agents" TargetMode="External"/><Relationship Id="rId52" Type="http://schemas.openxmlformats.org/officeDocument/2006/relationships/hyperlink" Target="https://docs.cloud.google.com/spanner/docs/reference/graph-algorithms/overview" TargetMode="External"/><Relationship Id="rId60" Type="http://schemas.openxmlformats.org/officeDocument/2006/relationships/hyperlink" Target="https://scalingintelligence.stanford.edu/" TargetMode="External"/><Relationship Id="rId65" Type="http://schemas.openxmlformats.org/officeDocument/2006/relationships/hyperlink" Target="https://cs329a.stanford.edu/" TargetMode="External"/><Relationship Id="rId73" Type="http://schemas.openxmlformats.org/officeDocument/2006/relationships/hyperlink" Target="https://arxiv.org/abs/2506.18203" TargetMode="External"/><Relationship Id="rId78" Type="http://schemas.openxmlformats.org/officeDocument/2006/relationships/hyperlink" Target="https://www.youtube.com/watch?v=6mQwHqK1I5w" TargetMode="External"/><Relationship Id="rId81" Type="http://schemas.openxmlformats.org/officeDocument/2006/relationships/hyperlink" Target="https://arxiv.org/abs/2604.05336" TargetMode="External"/><Relationship Id="rId4" Type="http://schemas.openxmlformats.org/officeDocument/2006/relationships/hyperlink" Target="https://www.youtube.com/watch?v=zgrOwow_uTQ" TargetMode="External"/><Relationship Id="rId9" Type="http://schemas.openxmlformats.org/officeDocument/2006/relationships/hyperlink" Target="https://mauripsale.github.io/doc-adk-training/docs/" TargetMode="External"/><Relationship Id="rId13" Type="http://schemas.openxmlformats.org/officeDocument/2006/relationships/hyperlink" Target="https://www.youtube.com/watch?v=uhJJgc-0iTQ" TargetMode="External"/><Relationship Id="rId18" Type="http://schemas.openxmlformats.org/officeDocument/2006/relationships/hyperlink" Target="https://codelabs.developers.google.com/codelabs/currency-agent" TargetMode="External"/><Relationship Id="rId39" Type="http://schemas.openxmlformats.org/officeDocument/2006/relationships/hyperlink" Target="https://www.anthropic.com/engineering/demystifying-evals-for-ai-agents" TargetMode="External"/><Relationship Id="rId34" Type="http://schemas.openxmlformats.org/officeDocument/2006/relationships/hyperlink" Target="https://www.anthropic.com/engineering/effective-context-engineering-for-ai-agents" TargetMode="External"/><Relationship Id="rId50" Type="http://schemas.openxmlformats.org/officeDocument/2006/relationships/hyperlink" Target="https://www.skills.google/paths/3802" TargetMode="External"/><Relationship Id="rId55" Type="http://schemas.openxmlformats.org/officeDocument/2006/relationships/hyperlink" Target="https://codelabs.developers.google.com/adk-mcp-bigquery-maps" TargetMode="External"/><Relationship Id="rId76" Type="http://schemas.openxmlformats.org/officeDocument/2006/relationships/hyperlink" Target="https://www.youtube.com/watch?v=gv0WHhKelSE" TargetMode="External"/><Relationship Id="rId7" Type="http://schemas.openxmlformats.org/officeDocument/2006/relationships/hyperlink" Target="https://ocw.mit.edu/courses/6-034-artificial-intelligence-fall-2010/" TargetMode="External"/><Relationship Id="rId71" Type="http://schemas.openxmlformats.org/officeDocument/2006/relationships/hyperlink" Target="https://www.educative.io/courses/ai-system-design-interview-questions" TargetMode="External"/><Relationship Id="rId2" Type="http://schemas.openxmlformats.org/officeDocument/2006/relationships/hyperlink" Target="https://partner.skills.google/course_templates/1563" TargetMode="External"/><Relationship Id="rId29" Type="http://schemas.openxmlformats.org/officeDocument/2006/relationships/hyperlink" Target="https://docs.cloud.google.com/vertex-ai/generative-ai/docs/rag-quickstart" TargetMode="External"/><Relationship Id="rId24" Type="http://schemas.openxmlformats.org/officeDocument/2006/relationships/hyperlink" Target="https://cloud.google.com/vertex-ai/generative-ai/docs/retrieval-and-ranking" TargetMode="External"/><Relationship Id="rId40" Type="http://schemas.openxmlformats.org/officeDocument/2006/relationships/hyperlink" Target="https://cloud.google.com/blog/products/databases/using-spanner-graph-with-langchain-for-graphrag/" TargetMode="External"/><Relationship Id="rId45" Type="http://schemas.openxmlformats.org/officeDocument/2006/relationships/hyperlink" Target="https://research.google/pubs/spanner-googles-globally-distributed-database-2/" TargetMode="External"/><Relationship Id="rId66" Type="http://schemas.openxmlformats.org/officeDocument/2006/relationships/hyperlink" Target="https://www.udemy.com/course/the-complete-agentic-ai-engineering-course/"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3" Type="http://schemas.openxmlformats.org/officeDocument/2006/relationships/hyperlink" Target="https://www.anthropic.com/engineering/code-execution-with-mcp" TargetMode="External"/><Relationship Id="rId18" Type="http://schemas.openxmlformats.org/officeDocument/2006/relationships/hyperlink" Target="https://www.linkedin.com/learning/hands-on-ai-building-ai-agents-with-model-context-protocol-mcp-and-agent2agent-a2a" TargetMode="External"/><Relationship Id="rId26" Type="http://schemas.openxmlformats.org/officeDocument/2006/relationships/hyperlink" Target="https://mauripsale.github.io/doc-adk-training/docs/" TargetMode="External"/><Relationship Id="rId39" Type="http://schemas.openxmlformats.org/officeDocument/2006/relationships/hyperlink" Target="https://www.anthropic.com/engineering/effective-harnesses-for-long-running-agents" TargetMode="External"/><Relationship Id="rId21" Type="http://schemas.openxmlformats.org/officeDocument/2006/relationships/hyperlink" Target="https://mauripsale.github.io/doc-adk-training/docs/" TargetMode="External"/><Relationship Id="rId34" Type="http://schemas.openxmlformats.org/officeDocument/2006/relationships/hyperlink" Target="https://codelabs.developers.google.com/adk-mcp-bigquery-maps" TargetMode="External"/><Relationship Id="rId42" Type="http://schemas.openxmlformats.org/officeDocument/2006/relationships/hyperlink" Target="https://www.udemy.com/course/the-complete-agentic-ai-engineering-course/" TargetMode="External"/><Relationship Id="rId47" Type="http://schemas.openxmlformats.org/officeDocument/2006/relationships/hyperlink" Target="https://www.youtube.com/watch?v=44C8u0CDtSo" TargetMode="External"/><Relationship Id="rId7" Type="http://schemas.openxmlformats.org/officeDocument/2006/relationships/hyperlink" Target="https://github.com/mauripsale/doc-adk-training" TargetMode="External"/><Relationship Id="rId2" Type="http://schemas.openxmlformats.org/officeDocument/2006/relationships/hyperlink" Target="https://partner.skills.google/course_templates/1563" TargetMode="External"/><Relationship Id="rId16" Type="http://schemas.openxmlformats.org/officeDocument/2006/relationships/hyperlink" Target="https://www.skills.google/paths/3877" TargetMode="External"/><Relationship Id="rId29" Type="http://schemas.openxmlformats.org/officeDocument/2006/relationships/hyperlink" Target="https://www.kaggle.com/learn-guide/5-day-agents" TargetMode="External"/><Relationship Id="rId11" Type="http://schemas.openxmlformats.org/officeDocument/2006/relationships/hyperlink" Target="https://mauripsale.github.io/doc-adk-training/docs/" TargetMode="External"/><Relationship Id="rId24" Type="http://schemas.openxmlformats.org/officeDocument/2006/relationships/hyperlink" Target="https://www.linkedin.com/learning/ai-evaluations-foundations-and-practical-examples" TargetMode="External"/><Relationship Id="rId32" Type="http://schemas.openxmlformats.org/officeDocument/2006/relationships/hyperlink" Target="https://www.skills.google/paths/3802" TargetMode="External"/><Relationship Id="rId37" Type="http://schemas.openxmlformats.org/officeDocument/2006/relationships/hyperlink" Target="https://adk.dev/tutorials/coding-with-ai/" TargetMode="External"/><Relationship Id="rId40" Type="http://schemas.openxmlformats.org/officeDocument/2006/relationships/hyperlink" Target="https://www.kaggle.com/learn-guide/5-day-agents-vibecoding" TargetMode="External"/><Relationship Id="rId45" Type="http://schemas.openxmlformats.org/officeDocument/2006/relationships/hyperlink" Target="https://code.claude.com/docs/en/best-practices" TargetMode="External"/><Relationship Id="rId5" Type="http://schemas.openxmlformats.org/officeDocument/2006/relationships/hyperlink" Target="https://mauripsale.github.io/doc-adk-training/docs/" TargetMode="External"/><Relationship Id="rId15" Type="http://schemas.openxmlformats.org/officeDocument/2006/relationships/hyperlink" Target="https://github.com/mauripsale/doc-adk-training" TargetMode="External"/><Relationship Id="rId23" Type="http://schemas.openxmlformats.org/officeDocument/2006/relationships/hyperlink" Target="https://github.com/mauripsale/doc-adk-training" TargetMode="External"/><Relationship Id="rId28" Type="http://schemas.openxmlformats.org/officeDocument/2006/relationships/hyperlink" Target="https://www.linkedin.com/learning/operating-ai-agents-failure-and-recovery" TargetMode="External"/><Relationship Id="rId36" Type="http://schemas.openxmlformats.org/officeDocument/2006/relationships/hyperlink" Target="https://github.com/mauripsale/doc-adk-training" TargetMode="External"/><Relationship Id="rId49" Type="http://schemas.openxmlformats.org/officeDocument/2006/relationships/table" Target="../tables/table1.xml"/><Relationship Id="rId10" Type="http://schemas.openxmlformats.org/officeDocument/2006/relationships/hyperlink" Target="https://www.linkedin.com/learning/model-context-protocol-mcp-hands-on-with-agentic-ai" TargetMode="External"/><Relationship Id="rId19" Type="http://schemas.openxmlformats.org/officeDocument/2006/relationships/hyperlink" Target="https://codelabs.developers.google.com/ai-creative-studio-adk-a2a?hl=en" TargetMode="External"/><Relationship Id="rId31" Type="http://schemas.openxmlformats.org/officeDocument/2006/relationships/hyperlink" Target="https://www.anthropic.com/engineering/how-we-contain-claude" TargetMode="External"/><Relationship Id="rId44" Type="http://schemas.openxmlformats.org/officeDocument/2006/relationships/hyperlink" Target="https://www.linkedin.com/learning/paths/building-agentic-ai-systems-for-developers" TargetMode="External"/><Relationship Id="rId4" Type="http://schemas.openxmlformats.org/officeDocument/2006/relationships/hyperlink" Target="https://www.youtube.com/watch?v=zgrOwow_uTQ" TargetMode="External"/><Relationship Id="rId9" Type="http://schemas.openxmlformats.org/officeDocument/2006/relationships/hyperlink" Target="https://www.youtube.com/watch?v=uhJJgc-0iTQ" TargetMode="External"/><Relationship Id="rId14" Type="http://schemas.openxmlformats.org/officeDocument/2006/relationships/hyperlink" Target="https://www.linkedin.com/learning/introduction-to-model-context-protocol-by-anthropic" TargetMode="External"/><Relationship Id="rId22" Type="http://schemas.openxmlformats.org/officeDocument/2006/relationships/hyperlink" Target="https://www.anthropic.com/engineering/effective-context-engineering-for-ai-agents" TargetMode="External"/><Relationship Id="rId27" Type="http://schemas.openxmlformats.org/officeDocument/2006/relationships/hyperlink" Target="https://www.linkedin.com/learning/governing-ai-agents-visibility-and-control" TargetMode="External"/><Relationship Id="rId30" Type="http://schemas.openxmlformats.org/officeDocument/2006/relationships/hyperlink" Target="https://codelabs.developers.google.com/governance-context-part2" TargetMode="External"/><Relationship Id="rId35" Type="http://schemas.openxmlformats.org/officeDocument/2006/relationships/hyperlink" Target="https://www.skills.google/paths/4459/course_templates/1842" TargetMode="External"/><Relationship Id="rId43" Type="http://schemas.openxmlformats.org/officeDocument/2006/relationships/hyperlink" Target="https://www.udemy.com/course/agentic-ai-architectures-with-patterns-frameworks-and-mcp/" TargetMode="External"/><Relationship Id="rId48" Type="http://schemas.openxmlformats.org/officeDocument/2006/relationships/hyperlink" Target="https://www.youtube.com/watch?v=6mQwHqK1I5w" TargetMode="External"/><Relationship Id="rId8" Type="http://schemas.openxmlformats.org/officeDocument/2006/relationships/hyperlink" Target="https://www.anthropic.com/engineering/writing-tools-for-agents" TargetMode="External"/><Relationship Id="rId3" Type="http://schemas.openxmlformats.org/officeDocument/2006/relationships/hyperlink" Target="https://codelabs.developers.google.com/devsite/codelabs/build-agents-with-adk-foundation" TargetMode="External"/><Relationship Id="rId12" Type="http://schemas.openxmlformats.org/officeDocument/2006/relationships/hyperlink" Target="https://codelabs.developers.google.com/codelabs/currency-agent" TargetMode="External"/><Relationship Id="rId17" Type="http://schemas.openxmlformats.org/officeDocument/2006/relationships/hyperlink" Target="https://codelabs.developers.google.com/next26/adk-agent2agent" TargetMode="External"/><Relationship Id="rId25" Type="http://schemas.openxmlformats.org/officeDocument/2006/relationships/hyperlink" Target="https://www.anthropic.com/engineering/demystifying-evals-for-ai-agents" TargetMode="External"/><Relationship Id="rId33" Type="http://schemas.openxmlformats.org/officeDocument/2006/relationships/hyperlink" Target="https://github.com/mauripsale/doc-adk-training" TargetMode="External"/><Relationship Id="rId38" Type="http://schemas.openxmlformats.org/officeDocument/2006/relationships/hyperlink" Target="https://www.anthropic.com/engineering/advanced-tool-use" TargetMode="External"/><Relationship Id="rId46" Type="http://schemas.openxmlformats.org/officeDocument/2006/relationships/hyperlink" Target="https://www.youtube.com/watch?v=gv0WHhKelSE" TargetMode="External"/><Relationship Id="rId20" Type="http://schemas.openxmlformats.org/officeDocument/2006/relationships/hyperlink" Target="https://www.anthropic.com/engineering/multi-agent-research-system" TargetMode="External"/><Relationship Id="rId41" Type="http://schemas.openxmlformats.org/officeDocument/2006/relationships/hyperlink" Target="https://cs329a.stanford.edu/" TargetMode="External"/><Relationship Id="rId1" Type="http://schemas.openxmlformats.org/officeDocument/2006/relationships/hyperlink" Target="https://www.skills.google/course_templates/1585" TargetMode="External"/><Relationship Id="rId6" Type="http://schemas.openxmlformats.org/officeDocument/2006/relationships/hyperlink" Target="https://codelabs.developers.google.com/devsite/codelabs/build-agents-with-adk-empowering-with-tools" TargetMode="Externa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3" Type="http://schemas.openxmlformats.org/officeDocument/2006/relationships/hyperlink" Target="https://codelabs.developers.google.com/adk-mcp-bigquery-maps" TargetMode="External"/><Relationship Id="rId18" Type="http://schemas.openxmlformats.org/officeDocument/2006/relationships/hyperlink" Target="https://www.anthropic.com/engineering" TargetMode="External"/><Relationship Id="rId26" Type="http://schemas.openxmlformats.org/officeDocument/2006/relationships/hyperlink" Target="https://www.anthropic.com/engineering/effective-harnesses-for-long-running-agents" TargetMode="External"/><Relationship Id="rId39" Type="http://schemas.openxmlformats.org/officeDocument/2006/relationships/hyperlink" Target="https://www.youtube.com/watch?v=44C8u0CDtSo" TargetMode="External"/><Relationship Id="rId21" Type="http://schemas.openxmlformats.org/officeDocument/2006/relationships/hyperlink" Target="https://www.anthropic.com/engineering/effective-context-engineering-for-ai-agents" TargetMode="External"/><Relationship Id="rId34" Type="http://schemas.openxmlformats.org/officeDocument/2006/relationships/hyperlink" Target="https://www.linkedin.com/learning/operating-ai-agents-failure-and-recovery" TargetMode="External"/><Relationship Id="rId42" Type="http://schemas.openxmlformats.org/officeDocument/2006/relationships/hyperlink" Target="https://www.youtube.com/watch?v=gv0WHhKelSE" TargetMode="External"/><Relationship Id="rId47" Type="http://schemas.openxmlformats.org/officeDocument/2006/relationships/hyperlink" Target="https://cs329a.stanford.edu/" TargetMode="External"/><Relationship Id="rId50" Type="http://schemas.openxmlformats.org/officeDocument/2006/relationships/hyperlink" Target="https://scalingintelligence.stanford.edu/pubs/" TargetMode="External"/><Relationship Id="rId55" Type="http://schemas.openxmlformats.org/officeDocument/2006/relationships/hyperlink" Target="https://www.educative.io/courses/grokking-the-machine-learning-system-design-interview" TargetMode="External"/><Relationship Id="rId63" Type="http://schemas.openxmlformats.org/officeDocument/2006/relationships/table" Target="../tables/table3.xml"/><Relationship Id="rId7" Type="http://schemas.openxmlformats.org/officeDocument/2006/relationships/hyperlink" Target="https://www.skills.google/paths/4459/course_templates/1842" TargetMode="External"/><Relationship Id="rId2" Type="http://schemas.openxmlformats.org/officeDocument/2006/relationships/hyperlink" Target="https://www.skills.google/course_templates/1585" TargetMode="External"/><Relationship Id="rId16" Type="http://schemas.openxmlformats.org/officeDocument/2006/relationships/hyperlink" Target="https://mauripsale.github.io/doc-adk-training/docs/" TargetMode="External"/><Relationship Id="rId29" Type="http://schemas.openxmlformats.org/officeDocument/2006/relationships/hyperlink" Target="https://www.linkedin.com/learning/paths/building-agentic-ai-systems-for-developers" TargetMode="External"/><Relationship Id="rId11" Type="http://schemas.openxmlformats.org/officeDocument/2006/relationships/hyperlink" Target="https://codelabs.developers.google.com/next26/adk-agent2agent" TargetMode="External"/><Relationship Id="rId24" Type="http://schemas.openxmlformats.org/officeDocument/2006/relationships/hyperlink" Target="https://www.anthropic.com/engineering/code-execution-with-mcp" TargetMode="External"/><Relationship Id="rId32" Type="http://schemas.openxmlformats.org/officeDocument/2006/relationships/hyperlink" Target="https://www.linkedin.com/learning/ai-evaluations-foundations-and-practical-examples" TargetMode="External"/><Relationship Id="rId37" Type="http://schemas.openxmlformats.org/officeDocument/2006/relationships/hyperlink" Target="https://www.udemy.com/course/complete-mcp-bootcamp-build-next-gen-ai-agents-with-mcp/" TargetMode="External"/><Relationship Id="rId40" Type="http://schemas.openxmlformats.org/officeDocument/2006/relationships/hyperlink" Target="https://www.youtube.com/watch?v=6mQwHqK1I5w" TargetMode="External"/><Relationship Id="rId45" Type="http://schemas.openxmlformats.org/officeDocument/2006/relationships/hyperlink" Target="https://www.kaggle.com/learn-guide/5-day-genai" TargetMode="External"/><Relationship Id="rId53" Type="http://schemas.openxmlformats.org/officeDocument/2006/relationships/hyperlink" Target="https://leetcode.com/studyplan/top-interview-150/" TargetMode="External"/><Relationship Id="rId58" Type="http://schemas.openxmlformats.org/officeDocument/2006/relationships/hyperlink" Target="https://ocw.mit.edu/courses/6-006-introduction-to-algorithms-fall-2011/" TargetMode="External"/><Relationship Id="rId5" Type="http://schemas.openxmlformats.org/officeDocument/2006/relationships/hyperlink" Target="https://www.skills.google/course_templates/1833" TargetMode="External"/><Relationship Id="rId61" Type="http://schemas.openxmlformats.org/officeDocument/2006/relationships/hyperlink" Target="https://ocw.mit.edu/courses/6-034-artificial-intelligence-fall-2010/" TargetMode="External"/><Relationship Id="rId19" Type="http://schemas.openxmlformats.org/officeDocument/2006/relationships/hyperlink" Target="https://www.anthropic.com/engineering/building-effective-agents" TargetMode="External"/><Relationship Id="rId14" Type="http://schemas.openxmlformats.org/officeDocument/2006/relationships/hyperlink" Target="https://codelabs.developers.google.com/governance-context-part2" TargetMode="External"/><Relationship Id="rId22" Type="http://schemas.openxmlformats.org/officeDocument/2006/relationships/hyperlink" Target="https://www.anthropic.com/engineering/multi-agent-research-system" TargetMode="External"/><Relationship Id="rId27" Type="http://schemas.openxmlformats.org/officeDocument/2006/relationships/hyperlink" Target="https://www.anthropic.com/engineering/how-we-contain-claude" TargetMode="External"/><Relationship Id="rId30" Type="http://schemas.openxmlformats.org/officeDocument/2006/relationships/hyperlink" Target="https://www.linkedin.com/learning/model-context-protocol-mcp-hands-on-with-agentic-ai" TargetMode="External"/><Relationship Id="rId35" Type="http://schemas.openxmlformats.org/officeDocument/2006/relationships/hyperlink" Target="https://www.udemy.com/course/the-complete-agentic-ai-engineering-course/" TargetMode="External"/><Relationship Id="rId43" Type="http://schemas.openxmlformats.org/officeDocument/2006/relationships/hyperlink" Target="https://www.kaggle.com/learn-guide/5-day-agents" TargetMode="External"/><Relationship Id="rId48" Type="http://schemas.openxmlformats.org/officeDocument/2006/relationships/hyperlink" Target="https://cs329a.stanford.edu/pastprojects.html" TargetMode="External"/><Relationship Id="rId56" Type="http://schemas.openxmlformats.org/officeDocument/2006/relationships/hyperlink" Target="https://www.educative.io/courses/agentic-ai-systems" TargetMode="External"/><Relationship Id="rId8" Type="http://schemas.openxmlformats.org/officeDocument/2006/relationships/hyperlink" Target="https://codelabs.developers.google.com/devsite/codelabs/build-agents-with-adk-foundation" TargetMode="External"/><Relationship Id="rId51" Type="http://schemas.openxmlformats.org/officeDocument/2006/relationships/hyperlink" Target="https://www.achowhery.com/" TargetMode="External"/><Relationship Id="rId3" Type="http://schemas.openxmlformats.org/officeDocument/2006/relationships/hyperlink" Target="https://partner.skills.google/course_templates/1563" TargetMode="External"/><Relationship Id="rId12" Type="http://schemas.openxmlformats.org/officeDocument/2006/relationships/hyperlink" Target="https://codelabs.developers.google.com/ai-creative-studio-adk-a2a?hl=en" TargetMode="External"/><Relationship Id="rId17" Type="http://schemas.openxmlformats.org/officeDocument/2006/relationships/hyperlink" Target="https://github.com/mauripsale/doc-adk-training" TargetMode="External"/><Relationship Id="rId25" Type="http://schemas.openxmlformats.org/officeDocument/2006/relationships/hyperlink" Target="https://www.anthropic.com/engineering/advanced-tool-use" TargetMode="External"/><Relationship Id="rId33" Type="http://schemas.openxmlformats.org/officeDocument/2006/relationships/hyperlink" Target="https://www.linkedin.com/learning/governing-ai-agents-visibility-and-control" TargetMode="External"/><Relationship Id="rId38" Type="http://schemas.openxmlformats.org/officeDocument/2006/relationships/hyperlink" Target="https://www.youtube.com/watch?v=zgrOwow_uTQ" TargetMode="External"/><Relationship Id="rId46" Type="http://schemas.openxmlformats.org/officeDocument/2006/relationships/hyperlink" Target="https://www.kaggle.com/competitions/5-day-ai-agents-intensive-vibecoding-course-with-google" TargetMode="External"/><Relationship Id="rId59" Type="http://schemas.openxmlformats.org/officeDocument/2006/relationships/hyperlink" Target="https://ocw.mit.edu/courses/6-824-distributed-computer-systems-engineering-spring-2006/" TargetMode="External"/><Relationship Id="rId20" Type="http://schemas.openxmlformats.org/officeDocument/2006/relationships/hyperlink" Target="https://www.anthropic.com/engineering/writing-tools-for-agents" TargetMode="External"/><Relationship Id="rId41" Type="http://schemas.openxmlformats.org/officeDocument/2006/relationships/hyperlink" Target="https://www.youtube.com/watch?v=uhJJgc-0iTQ" TargetMode="External"/><Relationship Id="rId54" Type="http://schemas.openxmlformats.org/officeDocument/2006/relationships/hyperlink" Target="https://www.educative.io/courses/grokking-the-system-design-interview" TargetMode="External"/><Relationship Id="rId62" Type="http://schemas.openxmlformats.org/officeDocument/2006/relationships/hyperlink" Target="https://cs50.harvard.edu/ai/" TargetMode="External"/><Relationship Id="rId1" Type="http://schemas.openxmlformats.org/officeDocument/2006/relationships/hyperlink" Target="https://www.skills.google/paths/3545" TargetMode="External"/><Relationship Id="rId6" Type="http://schemas.openxmlformats.org/officeDocument/2006/relationships/hyperlink" Target="https://www.skills.google/paths/3802" TargetMode="External"/><Relationship Id="rId15" Type="http://schemas.openxmlformats.org/officeDocument/2006/relationships/hyperlink" Target="https://adk.dev/tutorials/coding-with-ai/" TargetMode="External"/><Relationship Id="rId23" Type="http://schemas.openxmlformats.org/officeDocument/2006/relationships/hyperlink" Target="https://www.anthropic.com/engineering/demystifying-evals-for-ai-agents" TargetMode="External"/><Relationship Id="rId28" Type="http://schemas.openxmlformats.org/officeDocument/2006/relationships/hyperlink" Target="https://code.claude.com/docs/en/best-practices" TargetMode="External"/><Relationship Id="rId36" Type="http://schemas.openxmlformats.org/officeDocument/2006/relationships/hyperlink" Target="https://www.udemy.com/course/agentic-ai-architectures-with-patterns-frameworks-and-mcp/" TargetMode="External"/><Relationship Id="rId49" Type="http://schemas.openxmlformats.org/officeDocument/2006/relationships/hyperlink" Target="https://scalingintelligence.stanford.edu/" TargetMode="External"/><Relationship Id="rId57" Type="http://schemas.openxmlformats.org/officeDocument/2006/relationships/hyperlink" Target="https://www.educative.io/courses/ai-system-design-interview-questions" TargetMode="External"/><Relationship Id="rId10" Type="http://schemas.openxmlformats.org/officeDocument/2006/relationships/hyperlink" Target="https://codelabs.developers.google.com/codelabs/currency-agent" TargetMode="External"/><Relationship Id="rId31" Type="http://schemas.openxmlformats.org/officeDocument/2006/relationships/hyperlink" Target="https://www.linkedin.com/learning/hands-on-ai-building-ai-agents-with-model-context-protocol-mcp-and-agent2agent-a2a" TargetMode="External"/><Relationship Id="rId44" Type="http://schemas.openxmlformats.org/officeDocument/2006/relationships/hyperlink" Target="https://www.kaggle.com/learn-guide/5-day-agents-vibecoding" TargetMode="External"/><Relationship Id="rId52" Type="http://schemas.openxmlformats.org/officeDocument/2006/relationships/hyperlink" Target="https://leetcode.com/studyplan/leetcode-75/" TargetMode="External"/><Relationship Id="rId60" Type="http://schemas.openxmlformats.org/officeDocument/2006/relationships/hyperlink" Target="https://ocw.mit.edu/courses/6-172-performance-engineering-of-software-systems-fall-2018/" TargetMode="External"/><Relationship Id="rId4" Type="http://schemas.openxmlformats.org/officeDocument/2006/relationships/hyperlink" Target="https://www.skills.google/paths/3877" TargetMode="External"/><Relationship Id="rId9" Type="http://schemas.openxmlformats.org/officeDocument/2006/relationships/hyperlink" Target="https://codelabs.developers.google.com/devsite/codelabs/build-agents-with-adk-empowering-with-tools" TargetMode="Externa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8" Type="http://schemas.openxmlformats.org/officeDocument/2006/relationships/hyperlink" Target="https://ocw.mit.edu/courses/6-824-distributed-computer-systems-engineering-spring-2006/" TargetMode="External"/><Relationship Id="rId3" Type="http://schemas.openxmlformats.org/officeDocument/2006/relationships/hyperlink" Target="https://www.educative.io/courses/grokking-the-system-design-interview" TargetMode="External"/><Relationship Id="rId7" Type="http://schemas.openxmlformats.org/officeDocument/2006/relationships/hyperlink" Target="https://ocw.mit.edu/courses/6-006-introduction-to-algorithms-fall-2011/" TargetMode="External"/><Relationship Id="rId2" Type="http://schemas.openxmlformats.org/officeDocument/2006/relationships/hyperlink" Target="https://leetcode.com/studyplan/top-interview-150/" TargetMode="External"/><Relationship Id="rId1" Type="http://schemas.openxmlformats.org/officeDocument/2006/relationships/hyperlink" Target="https://leetcode.com/studyplan/leetcode-75/" TargetMode="External"/><Relationship Id="rId6" Type="http://schemas.openxmlformats.org/officeDocument/2006/relationships/hyperlink" Target="https://www.educative.io/courses/ai-system-design-interview-questions" TargetMode="External"/><Relationship Id="rId11" Type="http://schemas.openxmlformats.org/officeDocument/2006/relationships/hyperlink" Target="https://cs50.harvard.edu/ai/" TargetMode="External"/><Relationship Id="rId5" Type="http://schemas.openxmlformats.org/officeDocument/2006/relationships/hyperlink" Target="https://www.educative.io/courses/agentic-ai-systems" TargetMode="External"/><Relationship Id="rId10" Type="http://schemas.openxmlformats.org/officeDocument/2006/relationships/hyperlink" Target="https://ocw.mit.edu/courses/6-034-artificial-intelligence-fall-2010/" TargetMode="External"/><Relationship Id="rId4" Type="http://schemas.openxmlformats.org/officeDocument/2006/relationships/hyperlink" Target="https://www.educative.io/courses/grokking-the-machine-learning-system-design-interview" TargetMode="External"/><Relationship Id="rId9" Type="http://schemas.openxmlformats.org/officeDocument/2006/relationships/hyperlink" Target="https://ocw.mit.edu/courses/6-172-performance-engineering-of-software-systems-fall-2018/"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arxiv.org/abs/2506.18203" TargetMode="External"/><Relationship Id="rId3" Type="http://schemas.openxmlformats.org/officeDocument/2006/relationships/hyperlink" Target="https://scalingintelligence.stanford.edu/" TargetMode="External"/><Relationship Id="rId7" Type="http://schemas.openxmlformats.org/officeDocument/2006/relationships/hyperlink" Target="https://arxiv.org/abs/2604.05336" TargetMode="External"/><Relationship Id="rId12" Type="http://schemas.openxmlformats.org/officeDocument/2006/relationships/hyperlink" Target="https://www.achowhery.com/" TargetMode="External"/><Relationship Id="rId2" Type="http://schemas.openxmlformats.org/officeDocument/2006/relationships/hyperlink" Target="https://cs329a.stanford.edu/pastprojects.html" TargetMode="External"/><Relationship Id="rId1" Type="http://schemas.openxmlformats.org/officeDocument/2006/relationships/hyperlink" Target="https://cs329a.stanford.edu/" TargetMode="External"/><Relationship Id="rId6" Type="http://schemas.openxmlformats.org/officeDocument/2006/relationships/hyperlink" Target="https://arxiv.org/abs/2606.10662" TargetMode="External"/><Relationship Id="rId11" Type="http://schemas.openxmlformats.org/officeDocument/2006/relationships/hyperlink" Target="https://arxiv.org/abs/2409.15254" TargetMode="External"/><Relationship Id="rId5" Type="http://schemas.openxmlformats.org/officeDocument/2006/relationships/hyperlink" Target="https://arxiv.org/abs/2607.05391" TargetMode="External"/><Relationship Id="rId10" Type="http://schemas.openxmlformats.org/officeDocument/2006/relationships/hyperlink" Target="https://arxiv.org/abs/2501.14723" TargetMode="External"/><Relationship Id="rId4" Type="http://schemas.openxmlformats.org/officeDocument/2006/relationships/hyperlink" Target="https://scalingintelligence.stanford.edu/pubs/" TargetMode="External"/><Relationship Id="rId9" Type="http://schemas.openxmlformats.org/officeDocument/2006/relationships/hyperlink" Target="https://arxiv.org/abs/2506.05745"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cloud.google.com/blog/products/databases/using-spanner-graph-with-langchain-for-graphrag/" TargetMode="External"/><Relationship Id="rId3" Type="http://schemas.openxmlformats.org/officeDocument/2006/relationships/hyperlink" Target="https://docs.cloud.google.com/vertex-ai/generative-ai/docs/rag-quickstart" TargetMode="External"/><Relationship Id="rId7" Type="http://schemas.openxmlformats.org/officeDocument/2006/relationships/hyperlink" Target="https://docs.cloud.google.com/architecture/gen-ai-graphrag-spanner" TargetMode="External"/><Relationship Id="rId2" Type="http://schemas.openxmlformats.org/officeDocument/2006/relationships/hyperlink" Target="https://codelabs.developers.google.com/codelabs/production-ready-ai-with-gc/7-advanced-agent-capabilities/building-agents-with-retrieval-augmented-generation?hl=en" TargetMode="External"/><Relationship Id="rId1" Type="http://schemas.openxmlformats.org/officeDocument/2006/relationships/hyperlink" Target="https://www.skills.google/paths/183/course_templates/939" TargetMode="External"/><Relationship Id="rId6" Type="http://schemas.openxmlformats.org/officeDocument/2006/relationships/hyperlink" Target="https://codelabs.developers.google.com/codelabs/spanner-graph-getting-started?hl=en" TargetMode="External"/><Relationship Id="rId11" Type="http://schemas.openxmlformats.org/officeDocument/2006/relationships/hyperlink" Target="https://docs.cloud.google.com/spanner/docs/true-time-external-consistency" TargetMode="External"/><Relationship Id="rId5" Type="http://schemas.openxmlformats.org/officeDocument/2006/relationships/hyperlink" Target="https://docs.cloud.google.com/vertex-ai/generative-ai/docs/rag-quickstart" TargetMode="External"/><Relationship Id="rId10" Type="http://schemas.openxmlformats.org/officeDocument/2006/relationships/hyperlink" Target="https://research.google/pubs/spanner-googles-globally-distributed-database-2/" TargetMode="External"/><Relationship Id="rId4" Type="http://schemas.openxmlformats.org/officeDocument/2006/relationships/hyperlink" Target="https://cloud.google.com/vertex-ai/generative-ai/docs/retrieval-and-ranking" TargetMode="External"/><Relationship Id="rId9" Type="http://schemas.openxmlformats.org/officeDocument/2006/relationships/hyperlink" Target="https://docs.cloud.google.com/spanner/docs/reference/graph-algorithms/overview"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87"/>
  <sheetViews>
    <sheetView tabSelected="1" topLeftCell="I1" workbookViewId="0">
      <selection activeCell="R4" sqref="R4"/>
    </sheetView>
  </sheetViews>
  <sheetFormatPr baseColWidth="10" defaultColWidth="8.83203125" defaultRowHeight="15"/>
  <cols>
    <col min="1" max="1" width="10" customWidth="1"/>
    <col min="2" max="2" width="24" customWidth="1"/>
    <col min="3" max="3" width="26" customWidth="1"/>
    <col min="4" max="4" width="42" customWidth="1"/>
    <col min="5" max="5" width="22" customWidth="1"/>
    <col min="6" max="6" width="12" customWidth="1"/>
    <col min="7" max="7" width="10" customWidth="1"/>
    <col min="8" max="9" width="48" customWidth="1"/>
    <col min="10" max="10" width="24" customWidth="1"/>
    <col min="11" max="11" width="16" customWidth="1"/>
    <col min="12" max="12" width="18" customWidth="1"/>
    <col min="13" max="13" width="14" customWidth="1"/>
    <col min="14" max="14" width="38" customWidth="1"/>
    <col min="15" max="16" width="15" customWidth="1"/>
  </cols>
  <sheetData>
    <row r="1" spans="1:18" ht="32">
      <c r="A1" s="10" t="s">
        <v>0</v>
      </c>
      <c r="B1" s="10" t="s">
        <v>1</v>
      </c>
      <c r="C1" s="10" t="s">
        <v>2</v>
      </c>
      <c r="D1" s="10" t="s">
        <v>3</v>
      </c>
      <c r="E1" s="10" t="s">
        <v>4</v>
      </c>
      <c r="F1" s="10" t="s">
        <v>5</v>
      </c>
      <c r="G1" s="10" t="s">
        <v>6</v>
      </c>
      <c r="H1" s="10" t="s">
        <v>7</v>
      </c>
      <c r="I1" s="10" t="s">
        <v>8</v>
      </c>
      <c r="J1" s="10" t="s">
        <v>9</v>
      </c>
      <c r="K1" s="10" t="s">
        <v>10</v>
      </c>
      <c r="L1" s="10" t="s">
        <v>11</v>
      </c>
      <c r="M1" s="10" t="s">
        <v>12</v>
      </c>
      <c r="N1" s="10" t="s">
        <v>13</v>
      </c>
      <c r="O1" s="14" t="s">
        <v>14</v>
      </c>
      <c r="P1" s="14" t="s">
        <v>15</v>
      </c>
      <c r="R1" s="12" t="str">
        <f>HYPERLINK("#'Competency Matrix'!A1","Open Competency Matrix")</f>
        <v>Open Competency Matrix</v>
      </c>
    </row>
    <row r="2" spans="1:18" ht="32">
      <c r="A2" s="1">
        <v>1</v>
      </c>
      <c r="B2" s="1" t="s">
        <v>16</v>
      </c>
      <c r="C2" s="1" t="s">
        <v>17</v>
      </c>
      <c r="D2" s="1" t="s">
        <v>18</v>
      </c>
      <c r="E2" s="1" t="s">
        <v>19</v>
      </c>
      <c r="F2" s="1" t="s">
        <v>20</v>
      </c>
      <c r="G2" s="1">
        <v>0.5</v>
      </c>
      <c r="H2" s="1" t="s">
        <v>21</v>
      </c>
      <c r="I2" s="1" t="s">
        <v>22</v>
      </c>
      <c r="J2" s="1" t="s">
        <v>23</v>
      </c>
      <c r="K2" s="8" t="s">
        <v>24</v>
      </c>
      <c r="L2" s="8" t="s">
        <v>25</v>
      </c>
      <c r="M2" s="1" t="s">
        <v>498</v>
      </c>
      <c r="N2" s="1" t="s">
        <v>27</v>
      </c>
      <c r="O2" s="13">
        <v>46296</v>
      </c>
      <c r="P2" s="13">
        <v>46302</v>
      </c>
      <c r="R2" s="12" t="str">
        <f>HYPERLINK("#'Revision'!A1","Revision / Refresh Guide")</f>
        <v>Revision / Refresh Guide</v>
      </c>
    </row>
    <row r="3" spans="1:18" ht="32">
      <c r="A3" s="1">
        <v>2</v>
      </c>
      <c r="B3" s="1" t="s">
        <v>28</v>
      </c>
      <c r="C3" s="1" t="s">
        <v>17</v>
      </c>
      <c r="D3" s="1" t="s">
        <v>29</v>
      </c>
      <c r="E3" s="1" t="s">
        <v>19</v>
      </c>
      <c r="F3" s="1" t="s">
        <v>20</v>
      </c>
      <c r="G3" s="1">
        <v>1</v>
      </c>
      <c r="H3" s="1" t="s">
        <v>30</v>
      </c>
      <c r="I3" s="1" t="s">
        <v>31</v>
      </c>
      <c r="J3" s="1" t="s">
        <v>23</v>
      </c>
      <c r="K3" s="8" t="s">
        <v>24</v>
      </c>
      <c r="L3" s="8" t="s">
        <v>25</v>
      </c>
      <c r="M3" s="1" t="s">
        <v>26</v>
      </c>
      <c r="N3" s="1" t="s">
        <v>32</v>
      </c>
      <c r="O3" s="13">
        <v>46296</v>
      </c>
      <c r="P3" s="13">
        <v>46302</v>
      </c>
    </row>
    <row r="4" spans="1:18" ht="32">
      <c r="A4" s="1">
        <v>3</v>
      </c>
      <c r="B4" s="1" t="s">
        <v>33</v>
      </c>
      <c r="C4" s="1" t="s">
        <v>17</v>
      </c>
      <c r="D4" s="1" t="s">
        <v>34</v>
      </c>
      <c r="E4" s="1" t="s">
        <v>35</v>
      </c>
      <c r="F4" s="1" t="s">
        <v>20</v>
      </c>
      <c r="G4" s="1">
        <v>1</v>
      </c>
      <c r="H4" s="1" t="s">
        <v>36</v>
      </c>
      <c r="I4" s="1" t="s">
        <v>37</v>
      </c>
      <c r="J4" s="1" t="s">
        <v>23</v>
      </c>
      <c r="K4" s="8" t="s">
        <v>24</v>
      </c>
      <c r="L4" s="8" t="s">
        <v>25</v>
      </c>
      <c r="M4" s="1" t="s">
        <v>26</v>
      </c>
      <c r="N4" s="1" t="s">
        <v>38</v>
      </c>
      <c r="O4" s="13">
        <v>46296</v>
      </c>
      <c r="P4" s="13">
        <v>46302</v>
      </c>
    </row>
    <row r="5" spans="1:18" ht="32">
      <c r="A5" s="1">
        <v>4</v>
      </c>
      <c r="B5" s="1" t="s">
        <v>39</v>
      </c>
      <c r="C5" s="1" t="s">
        <v>17</v>
      </c>
      <c r="D5" s="1" t="s">
        <v>40</v>
      </c>
      <c r="E5" s="1" t="s">
        <v>41</v>
      </c>
      <c r="F5" s="1" t="s">
        <v>42</v>
      </c>
      <c r="G5" s="1">
        <v>0.3</v>
      </c>
      <c r="H5" s="1" t="s">
        <v>43</v>
      </c>
      <c r="I5" s="1" t="s">
        <v>44</v>
      </c>
      <c r="J5" s="1" t="s">
        <v>23</v>
      </c>
      <c r="K5" s="8" t="s">
        <v>24</v>
      </c>
      <c r="L5" s="8" t="s">
        <v>25</v>
      </c>
      <c r="M5" s="1" t="s">
        <v>26</v>
      </c>
      <c r="N5" s="1" t="s">
        <v>45</v>
      </c>
      <c r="O5" s="13">
        <v>46296</v>
      </c>
      <c r="P5" s="13">
        <v>46302</v>
      </c>
    </row>
    <row r="6" spans="1:18" ht="32">
      <c r="A6" s="1">
        <v>5</v>
      </c>
      <c r="B6" s="1" t="s">
        <v>46</v>
      </c>
      <c r="C6" s="1" t="s">
        <v>47</v>
      </c>
      <c r="D6" s="1" t="s">
        <v>48</v>
      </c>
      <c r="E6" s="1" t="s">
        <v>49</v>
      </c>
      <c r="F6" s="1" t="s">
        <v>20</v>
      </c>
      <c r="G6" s="1"/>
      <c r="H6" s="1" t="s">
        <v>50</v>
      </c>
      <c r="I6" s="1" t="s">
        <v>51</v>
      </c>
      <c r="J6" s="1" t="s">
        <v>52</v>
      </c>
      <c r="K6" s="8" t="s">
        <v>24</v>
      </c>
      <c r="L6" s="8" t="s">
        <v>25</v>
      </c>
      <c r="M6" s="1" t="s">
        <v>26</v>
      </c>
      <c r="N6" s="1" t="s">
        <v>53</v>
      </c>
      <c r="O6" s="13">
        <v>46296</v>
      </c>
      <c r="P6" s="13">
        <v>46379</v>
      </c>
    </row>
    <row r="7" spans="1:18" ht="48">
      <c r="A7" s="1">
        <v>6</v>
      </c>
      <c r="B7" s="1" t="s">
        <v>54</v>
      </c>
      <c r="C7" s="1" t="s">
        <v>47</v>
      </c>
      <c r="D7" s="1" t="s">
        <v>55</v>
      </c>
      <c r="E7" s="1" t="s">
        <v>56</v>
      </c>
      <c r="F7" s="1" t="s">
        <v>42</v>
      </c>
      <c r="G7" s="1"/>
      <c r="H7" s="1" t="s">
        <v>57</v>
      </c>
      <c r="I7" s="1" t="s">
        <v>58</v>
      </c>
      <c r="J7" s="1" t="s">
        <v>52</v>
      </c>
      <c r="K7" s="8" t="s">
        <v>24</v>
      </c>
      <c r="L7" s="8" t="s">
        <v>25</v>
      </c>
      <c r="M7" s="1" t="s">
        <v>26</v>
      </c>
      <c r="N7" s="1" t="s">
        <v>59</v>
      </c>
      <c r="O7" s="13">
        <v>46296</v>
      </c>
      <c r="P7" s="13">
        <v>46351</v>
      </c>
    </row>
    <row r="8" spans="1:18" ht="48">
      <c r="A8" s="1">
        <v>7</v>
      </c>
      <c r="B8" s="1" t="s">
        <v>60</v>
      </c>
      <c r="C8" s="1" t="s">
        <v>47</v>
      </c>
      <c r="D8" s="1" t="s">
        <v>61</v>
      </c>
      <c r="E8" s="1" t="s">
        <v>56</v>
      </c>
      <c r="F8" s="1" t="s">
        <v>62</v>
      </c>
      <c r="G8" s="1"/>
      <c r="H8" s="1" t="s">
        <v>63</v>
      </c>
      <c r="I8" s="1" t="s">
        <v>64</v>
      </c>
      <c r="J8" s="1" t="s">
        <v>52</v>
      </c>
      <c r="K8" s="8" t="s">
        <v>24</v>
      </c>
      <c r="L8" s="8" t="s">
        <v>25</v>
      </c>
      <c r="M8" s="1" t="s">
        <v>26</v>
      </c>
      <c r="N8" s="1" t="s">
        <v>65</v>
      </c>
      <c r="O8" s="13">
        <v>46296</v>
      </c>
      <c r="P8" s="13">
        <v>46337</v>
      </c>
    </row>
    <row r="9" spans="1:18" ht="48">
      <c r="A9" s="1">
        <v>8</v>
      </c>
      <c r="B9" s="1" t="s">
        <v>66</v>
      </c>
      <c r="C9" s="1" t="s">
        <v>47</v>
      </c>
      <c r="D9" s="1" t="s">
        <v>67</v>
      </c>
      <c r="E9" s="1" t="s">
        <v>68</v>
      </c>
      <c r="F9" s="1" t="s">
        <v>42</v>
      </c>
      <c r="G9" s="1"/>
      <c r="H9" s="1" t="s">
        <v>69</v>
      </c>
      <c r="I9" s="1" t="s">
        <v>70</v>
      </c>
      <c r="J9" s="1" t="s">
        <v>52</v>
      </c>
      <c r="K9" s="8" t="s">
        <v>24</v>
      </c>
      <c r="L9" s="8" t="s">
        <v>25</v>
      </c>
      <c r="M9" s="1" t="s">
        <v>26</v>
      </c>
      <c r="N9" s="1" t="s">
        <v>71</v>
      </c>
      <c r="O9" s="13">
        <v>46296</v>
      </c>
      <c r="P9" s="13">
        <v>46351</v>
      </c>
    </row>
    <row r="10" spans="1:18" ht="32">
      <c r="A10" s="1">
        <v>9</v>
      </c>
      <c r="B10" s="1" t="s">
        <v>72</v>
      </c>
      <c r="C10" s="1" t="s">
        <v>17</v>
      </c>
      <c r="D10" s="1" t="s">
        <v>73</v>
      </c>
      <c r="E10" s="1" t="s">
        <v>74</v>
      </c>
      <c r="F10" s="1" t="s">
        <v>20</v>
      </c>
      <c r="G10" s="1">
        <v>4</v>
      </c>
      <c r="H10" s="1" t="s">
        <v>75</v>
      </c>
      <c r="I10" s="1" t="s">
        <v>76</v>
      </c>
      <c r="J10" s="1" t="s">
        <v>23</v>
      </c>
      <c r="K10" s="8" t="s">
        <v>24</v>
      </c>
      <c r="L10" s="8" t="s">
        <v>25</v>
      </c>
      <c r="M10" s="1" t="s">
        <v>26</v>
      </c>
      <c r="N10" s="1" t="s">
        <v>77</v>
      </c>
      <c r="O10" s="13">
        <v>46303</v>
      </c>
      <c r="P10" s="13">
        <v>46309</v>
      </c>
    </row>
    <row r="11" spans="1:18" ht="32">
      <c r="A11" s="1">
        <v>10</v>
      </c>
      <c r="B11" s="1" t="s">
        <v>78</v>
      </c>
      <c r="C11" s="1" t="s">
        <v>17</v>
      </c>
      <c r="D11" s="1" t="s">
        <v>79</v>
      </c>
      <c r="E11" s="1" t="s">
        <v>35</v>
      </c>
      <c r="F11" s="1" t="s">
        <v>20</v>
      </c>
      <c r="G11" s="1">
        <v>1.5</v>
      </c>
      <c r="H11" s="1" t="s">
        <v>80</v>
      </c>
      <c r="I11" s="1" t="s">
        <v>81</v>
      </c>
      <c r="J11" s="1" t="s">
        <v>23</v>
      </c>
      <c r="K11" s="8" t="s">
        <v>24</v>
      </c>
      <c r="L11" s="8" t="s">
        <v>25</v>
      </c>
      <c r="M11" s="1" t="s">
        <v>26</v>
      </c>
      <c r="N11" s="1" t="s">
        <v>82</v>
      </c>
      <c r="O11" s="13">
        <v>46303</v>
      </c>
      <c r="P11" s="13">
        <v>46309</v>
      </c>
    </row>
    <row r="12" spans="1:18" ht="32">
      <c r="A12" s="1">
        <v>11</v>
      </c>
      <c r="B12" s="1" t="s">
        <v>83</v>
      </c>
      <c r="C12" s="1" t="s">
        <v>17</v>
      </c>
      <c r="D12" s="1" t="s">
        <v>84</v>
      </c>
      <c r="E12" s="1" t="s">
        <v>74</v>
      </c>
      <c r="F12" s="1" t="s">
        <v>20</v>
      </c>
      <c r="G12" s="1">
        <v>5</v>
      </c>
      <c r="H12" s="1" t="s">
        <v>85</v>
      </c>
      <c r="I12" s="1" t="s">
        <v>86</v>
      </c>
      <c r="J12" s="1" t="s">
        <v>23</v>
      </c>
      <c r="K12" s="8" t="s">
        <v>24</v>
      </c>
      <c r="L12" s="8" t="s">
        <v>25</v>
      </c>
      <c r="M12" s="1" t="s">
        <v>26</v>
      </c>
      <c r="N12" s="1" t="s">
        <v>87</v>
      </c>
      <c r="O12" s="13">
        <v>46310</v>
      </c>
      <c r="P12" s="13">
        <v>46316</v>
      </c>
    </row>
    <row r="13" spans="1:18" ht="32">
      <c r="A13" s="1">
        <v>12</v>
      </c>
      <c r="B13" s="1" t="s">
        <v>88</v>
      </c>
      <c r="C13" s="1" t="s">
        <v>17</v>
      </c>
      <c r="D13" s="1" t="s">
        <v>89</v>
      </c>
      <c r="E13" s="1" t="s">
        <v>90</v>
      </c>
      <c r="F13" s="1" t="s">
        <v>20</v>
      </c>
      <c r="G13" s="1">
        <v>1</v>
      </c>
      <c r="H13" s="1" t="s">
        <v>91</v>
      </c>
      <c r="I13" s="1" t="s">
        <v>92</v>
      </c>
      <c r="J13" s="1" t="s">
        <v>23</v>
      </c>
      <c r="K13" s="8" t="s">
        <v>24</v>
      </c>
      <c r="L13" s="8" t="s">
        <v>25</v>
      </c>
      <c r="M13" s="1" t="s">
        <v>26</v>
      </c>
      <c r="N13" s="1" t="s">
        <v>93</v>
      </c>
      <c r="O13" s="13">
        <v>46310</v>
      </c>
      <c r="P13" s="13">
        <v>46316</v>
      </c>
    </row>
    <row r="14" spans="1:18" ht="32">
      <c r="A14" s="1">
        <v>13</v>
      </c>
      <c r="B14" s="1" t="s">
        <v>94</v>
      </c>
      <c r="C14" s="1" t="s">
        <v>17</v>
      </c>
      <c r="D14" s="1" t="s">
        <v>95</v>
      </c>
      <c r="E14" s="1" t="s">
        <v>96</v>
      </c>
      <c r="F14" s="1" t="s">
        <v>20</v>
      </c>
      <c r="G14" s="1">
        <v>0.4</v>
      </c>
      <c r="H14" s="1" t="s">
        <v>97</v>
      </c>
      <c r="I14" s="1" t="s">
        <v>98</v>
      </c>
      <c r="J14" s="1" t="s">
        <v>23</v>
      </c>
      <c r="K14" s="8" t="s">
        <v>24</v>
      </c>
      <c r="L14" s="8" t="s">
        <v>25</v>
      </c>
      <c r="M14" s="1" t="s">
        <v>26</v>
      </c>
      <c r="N14" s="1" t="s">
        <v>99</v>
      </c>
      <c r="O14" s="13">
        <v>46310</v>
      </c>
      <c r="P14" s="13">
        <v>46316</v>
      </c>
    </row>
    <row r="15" spans="1:18" ht="32">
      <c r="A15" s="1">
        <v>14</v>
      </c>
      <c r="B15" s="1" t="s">
        <v>100</v>
      </c>
      <c r="C15" s="1" t="s">
        <v>101</v>
      </c>
      <c r="D15" s="1" t="s">
        <v>102</v>
      </c>
      <c r="E15" s="1" t="s">
        <v>19</v>
      </c>
      <c r="F15" s="1" t="s">
        <v>20</v>
      </c>
      <c r="G15" s="1"/>
      <c r="H15" s="1" t="s">
        <v>103</v>
      </c>
      <c r="I15" s="1" t="s">
        <v>104</v>
      </c>
      <c r="J15" s="1" t="s">
        <v>105</v>
      </c>
      <c r="K15" s="8" t="s">
        <v>24</v>
      </c>
      <c r="L15" s="8" t="s">
        <v>25</v>
      </c>
      <c r="M15" s="1" t="s">
        <v>26</v>
      </c>
      <c r="N15" s="1" t="s">
        <v>106</v>
      </c>
      <c r="O15" s="13">
        <v>46310</v>
      </c>
      <c r="P15" s="13">
        <v>46330</v>
      </c>
    </row>
    <row r="16" spans="1:18" ht="64">
      <c r="A16" s="1">
        <v>15</v>
      </c>
      <c r="B16" s="1" t="s">
        <v>107</v>
      </c>
      <c r="C16" s="1" t="s">
        <v>47</v>
      </c>
      <c r="D16" s="1" t="s">
        <v>108</v>
      </c>
      <c r="E16" s="1" t="s">
        <v>109</v>
      </c>
      <c r="F16" s="1" t="s">
        <v>20</v>
      </c>
      <c r="G16" s="1"/>
      <c r="H16" s="1" t="s">
        <v>110</v>
      </c>
      <c r="I16" s="1" t="s">
        <v>111</v>
      </c>
      <c r="J16" s="1" t="s">
        <v>52</v>
      </c>
      <c r="K16" s="8" t="s">
        <v>24</v>
      </c>
      <c r="L16" s="8" t="s">
        <v>25</v>
      </c>
      <c r="M16" s="1" t="s">
        <v>26</v>
      </c>
      <c r="N16" s="1" t="s">
        <v>112</v>
      </c>
      <c r="O16" s="13">
        <v>46310</v>
      </c>
      <c r="P16" s="13">
        <v>46393</v>
      </c>
    </row>
    <row r="17" spans="1:16" ht="32">
      <c r="A17" s="1">
        <v>16</v>
      </c>
      <c r="B17" s="1" t="s">
        <v>113</v>
      </c>
      <c r="C17" s="1" t="s">
        <v>17</v>
      </c>
      <c r="D17" s="1" t="s">
        <v>114</v>
      </c>
      <c r="E17" s="1" t="s">
        <v>115</v>
      </c>
      <c r="F17" s="1" t="s">
        <v>42</v>
      </c>
      <c r="G17" s="1">
        <v>0.9</v>
      </c>
      <c r="H17" s="1" t="s">
        <v>116</v>
      </c>
      <c r="I17" s="1" t="s">
        <v>117</v>
      </c>
      <c r="J17" s="1" t="s">
        <v>23</v>
      </c>
      <c r="K17" s="8" t="s">
        <v>24</v>
      </c>
      <c r="L17" s="8" t="s">
        <v>25</v>
      </c>
      <c r="M17" s="1" t="s">
        <v>26</v>
      </c>
      <c r="N17" s="1" t="s">
        <v>118</v>
      </c>
      <c r="O17" s="13">
        <v>46317</v>
      </c>
      <c r="P17" s="13">
        <v>46323</v>
      </c>
    </row>
    <row r="18" spans="1:16" ht="32">
      <c r="A18" s="1">
        <v>17</v>
      </c>
      <c r="B18" s="1" t="s">
        <v>119</v>
      </c>
      <c r="C18" s="1" t="s">
        <v>17</v>
      </c>
      <c r="D18" s="1" t="s">
        <v>120</v>
      </c>
      <c r="E18" s="1" t="s">
        <v>74</v>
      </c>
      <c r="F18" s="1" t="s">
        <v>20</v>
      </c>
      <c r="G18" s="1">
        <v>1.5</v>
      </c>
      <c r="H18" s="1" t="s">
        <v>121</v>
      </c>
      <c r="I18" s="1" t="s">
        <v>122</v>
      </c>
      <c r="J18" s="1" t="s">
        <v>23</v>
      </c>
      <c r="K18" s="8" t="s">
        <v>24</v>
      </c>
      <c r="L18" s="8" t="s">
        <v>25</v>
      </c>
      <c r="M18" s="1" t="s">
        <v>26</v>
      </c>
      <c r="N18" s="1" t="s">
        <v>123</v>
      </c>
      <c r="O18" s="13">
        <v>46317</v>
      </c>
      <c r="P18" s="13">
        <v>46323</v>
      </c>
    </row>
    <row r="19" spans="1:16" ht="32">
      <c r="A19" s="1">
        <v>18</v>
      </c>
      <c r="B19" s="1" t="s">
        <v>124</v>
      </c>
      <c r="C19" s="1" t="s">
        <v>17</v>
      </c>
      <c r="D19" s="1" t="s">
        <v>125</v>
      </c>
      <c r="E19" s="1" t="s">
        <v>35</v>
      </c>
      <c r="F19" s="1" t="s">
        <v>20</v>
      </c>
      <c r="G19" s="1">
        <v>2</v>
      </c>
      <c r="H19" s="1" t="s">
        <v>126</v>
      </c>
      <c r="I19" s="1" t="s">
        <v>127</v>
      </c>
      <c r="J19" s="1" t="s">
        <v>23</v>
      </c>
      <c r="K19" s="8" t="s">
        <v>24</v>
      </c>
      <c r="L19" s="8" t="s">
        <v>25</v>
      </c>
      <c r="M19" s="1" t="s">
        <v>26</v>
      </c>
      <c r="N19" s="1" t="s">
        <v>128</v>
      </c>
      <c r="O19" s="13">
        <v>46317</v>
      </c>
      <c r="P19" s="13">
        <v>46323</v>
      </c>
    </row>
    <row r="20" spans="1:16" ht="32">
      <c r="A20" s="1">
        <v>19</v>
      </c>
      <c r="B20" s="1" t="s">
        <v>129</v>
      </c>
      <c r="C20" s="1" t="s">
        <v>101</v>
      </c>
      <c r="D20" s="1" t="s">
        <v>130</v>
      </c>
      <c r="E20" s="1" t="s">
        <v>35</v>
      </c>
      <c r="F20" s="1" t="s">
        <v>20</v>
      </c>
      <c r="G20" s="1"/>
      <c r="H20" s="1" t="s">
        <v>131</v>
      </c>
      <c r="I20" s="1" t="s">
        <v>132</v>
      </c>
      <c r="J20" s="1" t="s">
        <v>105</v>
      </c>
      <c r="K20" s="8" t="s">
        <v>24</v>
      </c>
      <c r="L20" s="8" t="s">
        <v>25</v>
      </c>
      <c r="M20" s="1" t="s">
        <v>26</v>
      </c>
      <c r="N20" s="1" t="s">
        <v>133</v>
      </c>
      <c r="O20" s="13">
        <v>46317</v>
      </c>
      <c r="P20" s="13">
        <v>46337</v>
      </c>
    </row>
    <row r="21" spans="1:16" ht="32">
      <c r="A21" s="1">
        <v>20</v>
      </c>
      <c r="B21" s="1" t="s">
        <v>134</v>
      </c>
      <c r="C21" s="1" t="s">
        <v>17</v>
      </c>
      <c r="D21" s="1" t="s">
        <v>135</v>
      </c>
      <c r="E21" s="1" t="s">
        <v>90</v>
      </c>
      <c r="F21" s="1" t="s">
        <v>20</v>
      </c>
      <c r="G21" s="1">
        <v>0.8</v>
      </c>
      <c r="H21" s="1" t="s">
        <v>136</v>
      </c>
      <c r="I21" s="1" t="s">
        <v>137</v>
      </c>
      <c r="J21" s="1" t="s">
        <v>23</v>
      </c>
      <c r="K21" s="8" t="s">
        <v>24</v>
      </c>
      <c r="L21" s="8" t="s">
        <v>25</v>
      </c>
      <c r="M21" s="1" t="s">
        <v>26</v>
      </c>
      <c r="N21" s="1" t="s">
        <v>138</v>
      </c>
      <c r="O21" s="13">
        <v>46324</v>
      </c>
      <c r="P21" s="13">
        <v>46330</v>
      </c>
    </row>
    <row r="22" spans="1:16" ht="32">
      <c r="A22" s="1">
        <v>21</v>
      </c>
      <c r="B22" s="1" t="s">
        <v>139</v>
      </c>
      <c r="C22" s="1" t="s">
        <v>17</v>
      </c>
      <c r="D22" s="1" t="s">
        <v>140</v>
      </c>
      <c r="E22" s="1" t="s">
        <v>115</v>
      </c>
      <c r="F22" s="1" t="s">
        <v>42</v>
      </c>
      <c r="G22" s="1">
        <v>1</v>
      </c>
      <c r="H22" s="1" t="s">
        <v>141</v>
      </c>
      <c r="I22" s="1" t="s">
        <v>142</v>
      </c>
      <c r="J22" s="1" t="s">
        <v>23</v>
      </c>
      <c r="K22" s="8" t="s">
        <v>24</v>
      </c>
      <c r="L22" s="8" t="s">
        <v>25</v>
      </c>
      <c r="M22" s="1" t="s">
        <v>26</v>
      </c>
      <c r="N22" s="1" t="s">
        <v>143</v>
      </c>
      <c r="O22" s="13">
        <v>46324</v>
      </c>
      <c r="P22" s="13">
        <v>46330</v>
      </c>
    </row>
    <row r="23" spans="1:16" ht="32">
      <c r="A23" s="1">
        <v>22</v>
      </c>
      <c r="B23" s="1" t="s">
        <v>144</v>
      </c>
      <c r="C23" s="1" t="s">
        <v>17</v>
      </c>
      <c r="D23" s="1" t="s">
        <v>145</v>
      </c>
      <c r="E23" s="1" t="s">
        <v>74</v>
      </c>
      <c r="F23" s="1" t="s">
        <v>20</v>
      </c>
      <c r="G23" s="1">
        <v>4.5</v>
      </c>
      <c r="H23" s="1" t="s">
        <v>146</v>
      </c>
      <c r="I23" s="1" t="s">
        <v>147</v>
      </c>
      <c r="J23" s="1" t="s">
        <v>23</v>
      </c>
      <c r="K23" s="8" t="s">
        <v>24</v>
      </c>
      <c r="L23" s="8" t="s">
        <v>25</v>
      </c>
      <c r="M23" s="1" t="s">
        <v>26</v>
      </c>
      <c r="N23" s="1" t="s">
        <v>148</v>
      </c>
      <c r="O23" s="13">
        <v>46324</v>
      </c>
      <c r="P23" s="13">
        <v>46330</v>
      </c>
    </row>
    <row r="24" spans="1:16" ht="32">
      <c r="A24" s="1">
        <v>23</v>
      </c>
      <c r="B24" s="1" t="s">
        <v>149</v>
      </c>
      <c r="C24" s="1" t="s">
        <v>101</v>
      </c>
      <c r="D24" s="1" t="s">
        <v>150</v>
      </c>
      <c r="E24" s="1" t="s">
        <v>151</v>
      </c>
      <c r="F24" s="1" t="s">
        <v>42</v>
      </c>
      <c r="G24" s="1"/>
      <c r="H24" s="1" t="s">
        <v>152</v>
      </c>
      <c r="I24" s="1" t="s">
        <v>153</v>
      </c>
      <c r="J24" s="1" t="s">
        <v>105</v>
      </c>
      <c r="K24" s="8" t="s">
        <v>24</v>
      </c>
      <c r="L24" s="8" t="s">
        <v>25</v>
      </c>
      <c r="M24" s="1" t="s">
        <v>26</v>
      </c>
      <c r="N24" s="1" t="s">
        <v>154</v>
      </c>
      <c r="O24" s="13">
        <v>46324</v>
      </c>
      <c r="P24" s="13">
        <v>46344</v>
      </c>
    </row>
    <row r="25" spans="1:16" ht="32">
      <c r="A25" s="1">
        <v>24</v>
      </c>
      <c r="B25" s="1" t="s">
        <v>149</v>
      </c>
      <c r="C25" s="1" t="s">
        <v>101</v>
      </c>
      <c r="D25" s="1" t="s">
        <v>155</v>
      </c>
      <c r="E25" s="1" t="s">
        <v>151</v>
      </c>
      <c r="F25" s="1" t="s">
        <v>20</v>
      </c>
      <c r="G25" s="1"/>
      <c r="H25" s="1" t="s">
        <v>156</v>
      </c>
      <c r="I25" s="1" t="s">
        <v>157</v>
      </c>
      <c r="J25" s="1" t="s">
        <v>105</v>
      </c>
      <c r="K25" s="8" t="s">
        <v>24</v>
      </c>
      <c r="L25" s="8" t="s">
        <v>25</v>
      </c>
      <c r="M25" s="1" t="s">
        <v>26</v>
      </c>
      <c r="N25" s="1" t="s">
        <v>158</v>
      </c>
      <c r="O25" s="13">
        <v>46324</v>
      </c>
      <c r="P25" s="13">
        <v>46344</v>
      </c>
    </row>
    <row r="26" spans="1:16" ht="64">
      <c r="A26" s="1">
        <v>25</v>
      </c>
      <c r="B26" s="1" t="s">
        <v>159</v>
      </c>
      <c r="C26" s="1" t="s">
        <v>47</v>
      </c>
      <c r="D26" s="1" t="s">
        <v>160</v>
      </c>
      <c r="E26" s="1" t="s">
        <v>56</v>
      </c>
      <c r="F26" s="1" t="s">
        <v>20</v>
      </c>
      <c r="G26" s="1"/>
      <c r="H26" s="1" t="s">
        <v>161</v>
      </c>
      <c r="I26" s="1" t="s">
        <v>162</v>
      </c>
      <c r="J26" s="1" t="s">
        <v>52</v>
      </c>
      <c r="K26" s="8" t="s">
        <v>24</v>
      </c>
      <c r="L26" s="8" t="s">
        <v>25</v>
      </c>
      <c r="M26" s="1" t="s">
        <v>26</v>
      </c>
      <c r="N26" s="1" t="s">
        <v>163</v>
      </c>
      <c r="O26" s="13">
        <v>46324</v>
      </c>
      <c r="P26" s="13">
        <v>46393</v>
      </c>
    </row>
    <row r="27" spans="1:16" ht="32">
      <c r="A27" s="1">
        <v>26</v>
      </c>
      <c r="B27" s="1" t="s">
        <v>164</v>
      </c>
      <c r="C27" s="1" t="s">
        <v>17</v>
      </c>
      <c r="D27" s="1" t="s">
        <v>165</v>
      </c>
      <c r="E27" s="1" t="s">
        <v>19</v>
      </c>
      <c r="F27" s="1" t="s">
        <v>20</v>
      </c>
      <c r="G27" s="1">
        <v>3</v>
      </c>
      <c r="H27" s="1" t="s">
        <v>166</v>
      </c>
      <c r="I27" s="1" t="s">
        <v>167</v>
      </c>
      <c r="J27" s="1" t="s">
        <v>23</v>
      </c>
      <c r="K27" s="8" t="s">
        <v>24</v>
      </c>
      <c r="L27" s="8" t="s">
        <v>25</v>
      </c>
      <c r="M27" s="1" t="s">
        <v>26</v>
      </c>
      <c r="N27" s="1" t="s">
        <v>168</v>
      </c>
      <c r="O27" s="13">
        <v>46331</v>
      </c>
      <c r="P27" s="13">
        <v>46337</v>
      </c>
    </row>
    <row r="28" spans="1:16" ht="32">
      <c r="A28" s="1">
        <v>27</v>
      </c>
      <c r="B28" s="1" t="s">
        <v>169</v>
      </c>
      <c r="C28" s="1" t="s">
        <v>17</v>
      </c>
      <c r="D28" s="1" t="s">
        <v>170</v>
      </c>
      <c r="E28" s="1" t="s">
        <v>35</v>
      </c>
      <c r="F28" s="1" t="s">
        <v>20</v>
      </c>
      <c r="G28" s="1">
        <v>0.75</v>
      </c>
      <c r="H28" s="1" t="s">
        <v>171</v>
      </c>
      <c r="I28" s="1" t="s">
        <v>172</v>
      </c>
      <c r="J28" s="1" t="s">
        <v>23</v>
      </c>
      <c r="K28" s="8" t="s">
        <v>24</v>
      </c>
      <c r="L28" s="8" t="s">
        <v>25</v>
      </c>
      <c r="M28" s="1" t="s">
        <v>26</v>
      </c>
      <c r="N28" s="1" t="s">
        <v>173</v>
      </c>
      <c r="O28" s="13">
        <v>46331</v>
      </c>
      <c r="P28" s="13">
        <v>46337</v>
      </c>
    </row>
    <row r="29" spans="1:16" ht="32">
      <c r="A29" s="1">
        <v>28</v>
      </c>
      <c r="B29" s="1" t="s">
        <v>174</v>
      </c>
      <c r="C29" s="1" t="s">
        <v>17</v>
      </c>
      <c r="D29" s="1" t="s">
        <v>175</v>
      </c>
      <c r="E29" s="1" t="s">
        <v>115</v>
      </c>
      <c r="F29" s="1" t="s">
        <v>42</v>
      </c>
      <c r="G29" s="1">
        <v>1.7</v>
      </c>
      <c r="H29" s="1" t="s">
        <v>176</v>
      </c>
      <c r="I29" s="1" t="s">
        <v>177</v>
      </c>
      <c r="J29" s="1" t="s">
        <v>23</v>
      </c>
      <c r="K29" s="8" t="s">
        <v>24</v>
      </c>
      <c r="L29" s="8" t="s">
        <v>25</v>
      </c>
      <c r="M29" s="1" t="s">
        <v>26</v>
      </c>
      <c r="N29" s="1" t="s">
        <v>178</v>
      </c>
      <c r="O29" s="13">
        <v>46331</v>
      </c>
      <c r="P29" s="13">
        <v>46337</v>
      </c>
    </row>
    <row r="30" spans="1:16" ht="48">
      <c r="A30" s="1">
        <v>29</v>
      </c>
      <c r="B30" s="1" t="s">
        <v>179</v>
      </c>
      <c r="C30" s="1" t="s">
        <v>101</v>
      </c>
      <c r="D30" s="1" t="s">
        <v>180</v>
      </c>
      <c r="E30" s="1" t="s">
        <v>181</v>
      </c>
      <c r="F30" s="1" t="s">
        <v>20</v>
      </c>
      <c r="G30" s="1"/>
      <c r="H30" s="1" t="s">
        <v>182</v>
      </c>
      <c r="I30" s="1" t="s">
        <v>183</v>
      </c>
      <c r="J30" s="1" t="s">
        <v>105</v>
      </c>
      <c r="K30" s="8" t="s">
        <v>24</v>
      </c>
      <c r="L30" s="8" t="s">
        <v>25</v>
      </c>
      <c r="M30" s="1" t="s">
        <v>26</v>
      </c>
      <c r="N30" s="1" t="s">
        <v>184</v>
      </c>
      <c r="O30" s="13">
        <v>46331</v>
      </c>
      <c r="P30" s="13">
        <v>46358</v>
      </c>
    </row>
    <row r="31" spans="1:16" ht="32">
      <c r="A31" s="1">
        <v>30</v>
      </c>
      <c r="B31" s="1" t="s">
        <v>185</v>
      </c>
      <c r="C31" s="1" t="s">
        <v>17</v>
      </c>
      <c r="D31" s="1" t="s">
        <v>186</v>
      </c>
      <c r="E31" s="1" t="s">
        <v>35</v>
      </c>
      <c r="F31" s="1" t="s">
        <v>20</v>
      </c>
      <c r="G31" s="1">
        <v>3</v>
      </c>
      <c r="H31" s="1" t="s">
        <v>187</v>
      </c>
      <c r="I31" s="1" t="s">
        <v>188</v>
      </c>
      <c r="J31" s="1" t="s">
        <v>23</v>
      </c>
      <c r="K31" s="8" t="s">
        <v>24</v>
      </c>
      <c r="L31" s="8" t="s">
        <v>25</v>
      </c>
      <c r="M31" s="1" t="s">
        <v>26</v>
      </c>
      <c r="N31" s="1" t="s">
        <v>189</v>
      </c>
      <c r="O31" s="13">
        <v>46338</v>
      </c>
      <c r="P31" s="13">
        <v>46344</v>
      </c>
    </row>
    <row r="32" spans="1:16" ht="32">
      <c r="A32" s="1">
        <v>31</v>
      </c>
      <c r="B32" s="1" t="s">
        <v>190</v>
      </c>
      <c r="C32" s="1" t="s">
        <v>17</v>
      </c>
      <c r="D32" s="1" t="s">
        <v>191</v>
      </c>
      <c r="E32" s="1" t="s">
        <v>90</v>
      </c>
      <c r="F32" s="1" t="s">
        <v>20</v>
      </c>
      <c r="G32" s="1">
        <v>1</v>
      </c>
      <c r="H32" s="1" t="s">
        <v>192</v>
      </c>
      <c r="I32" s="1" t="s">
        <v>193</v>
      </c>
      <c r="J32" s="1" t="s">
        <v>23</v>
      </c>
      <c r="K32" s="8" t="s">
        <v>24</v>
      </c>
      <c r="L32" s="8" t="s">
        <v>25</v>
      </c>
      <c r="M32" s="1" t="s">
        <v>26</v>
      </c>
      <c r="N32" s="1" t="s">
        <v>194</v>
      </c>
      <c r="O32" s="13">
        <v>46338</v>
      </c>
      <c r="P32" s="13">
        <v>46344</v>
      </c>
    </row>
    <row r="33" spans="1:16" ht="32">
      <c r="A33" s="1">
        <v>32</v>
      </c>
      <c r="B33" s="1" t="s">
        <v>195</v>
      </c>
      <c r="C33" s="1" t="s">
        <v>101</v>
      </c>
      <c r="D33" s="1" t="s">
        <v>196</v>
      </c>
      <c r="E33" s="1" t="s">
        <v>35</v>
      </c>
      <c r="F33" s="1" t="s">
        <v>42</v>
      </c>
      <c r="G33" s="1"/>
      <c r="H33" s="1" t="s">
        <v>197</v>
      </c>
      <c r="I33" s="1" t="s">
        <v>198</v>
      </c>
      <c r="J33" s="1" t="s">
        <v>105</v>
      </c>
      <c r="K33" s="8" t="s">
        <v>24</v>
      </c>
      <c r="L33" s="8" t="s">
        <v>25</v>
      </c>
      <c r="M33" s="1" t="s">
        <v>26</v>
      </c>
      <c r="N33" s="1" t="s">
        <v>199</v>
      </c>
      <c r="O33" s="13">
        <v>46338</v>
      </c>
      <c r="P33" s="13">
        <v>46358</v>
      </c>
    </row>
    <row r="34" spans="1:16" ht="32">
      <c r="A34" s="1">
        <v>33</v>
      </c>
      <c r="B34" s="1" t="s">
        <v>200</v>
      </c>
      <c r="C34" s="1" t="s">
        <v>17</v>
      </c>
      <c r="D34" s="1" t="s">
        <v>201</v>
      </c>
      <c r="E34" s="1" t="s">
        <v>74</v>
      </c>
      <c r="F34" s="1" t="s">
        <v>20</v>
      </c>
      <c r="G34" s="1">
        <v>1.5</v>
      </c>
      <c r="H34" s="1" t="s">
        <v>202</v>
      </c>
      <c r="I34" s="1" t="s">
        <v>203</v>
      </c>
      <c r="J34" s="1" t="s">
        <v>23</v>
      </c>
      <c r="K34" s="8" t="s">
        <v>24</v>
      </c>
      <c r="L34" s="8" t="s">
        <v>25</v>
      </c>
      <c r="M34" s="1" t="s">
        <v>26</v>
      </c>
      <c r="N34" s="1" t="s">
        <v>204</v>
      </c>
      <c r="O34" s="13">
        <v>46345</v>
      </c>
      <c r="P34" s="13">
        <v>46351</v>
      </c>
    </row>
    <row r="35" spans="1:16" ht="32">
      <c r="A35" s="1">
        <v>34</v>
      </c>
      <c r="B35" s="1" t="s">
        <v>205</v>
      </c>
      <c r="C35" s="1" t="s">
        <v>17</v>
      </c>
      <c r="D35" s="1" t="s">
        <v>206</v>
      </c>
      <c r="E35" s="1" t="s">
        <v>90</v>
      </c>
      <c r="F35" s="1" t="s">
        <v>20</v>
      </c>
      <c r="G35" s="1">
        <v>1</v>
      </c>
      <c r="H35" s="1" t="s">
        <v>207</v>
      </c>
      <c r="I35" s="1" t="s">
        <v>208</v>
      </c>
      <c r="J35" s="1" t="s">
        <v>23</v>
      </c>
      <c r="K35" s="8" t="s">
        <v>24</v>
      </c>
      <c r="L35" s="8" t="s">
        <v>25</v>
      </c>
      <c r="M35" s="1" t="s">
        <v>26</v>
      </c>
      <c r="N35" s="1" t="s">
        <v>209</v>
      </c>
      <c r="O35" s="13">
        <v>46345</v>
      </c>
      <c r="P35" s="13">
        <v>46351</v>
      </c>
    </row>
    <row r="36" spans="1:16" ht="48">
      <c r="A36" s="1">
        <v>35</v>
      </c>
      <c r="B36" s="1" t="s">
        <v>210</v>
      </c>
      <c r="C36" s="1" t="s">
        <v>101</v>
      </c>
      <c r="D36" s="1" t="s">
        <v>211</v>
      </c>
      <c r="E36" s="1" t="s">
        <v>212</v>
      </c>
      <c r="F36" s="1" t="s">
        <v>20</v>
      </c>
      <c r="G36" s="1"/>
      <c r="H36" s="1" t="s">
        <v>213</v>
      </c>
      <c r="I36" s="1" t="s">
        <v>214</v>
      </c>
      <c r="J36" s="1" t="s">
        <v>105</v>
      </c>
      <c r="K36" s="8" t="s">
        <v>24</v>
      </c>
      <c r="L36" s="8" t="s">
        <v>25</v>
      </c>
      <c r="M36" s="1" t="s">
        <v>26</v>
      </c>
      <c r="N36" s="1" t="s">
        <v>215</v>
      </c>
      <c r="O36" s="13">
        <v>46345</v>
      </c>
      <c r="P36" s="13">
        <v>46372</v>
      </c>
    </row>
    <row r="37" spans="1:16" ht="64">
      <c r="A37" s="1">
        <v>36</v>
      </c>
      <c r="B37" s="1" t="s">
        <v>216</v>
      </c>
      <c r="C37" s="1" t="s">
        <v>47</v>
      </c>
      <c r="D37" s="1" t="s">
        <v>217</v>
      </c>
      <c r="E37" s="1" t="s">
        <v>109</v>
      </c>
      <c r="F37" s="1" t="s">
        <v>20</v>
      </c>
      <c r="G37" s="1"/>
      <c r="H37" s="1" t="s">
        <v>218</v>
      </c>
      <c r="I37" s="1" t="s">
        <v>219</v>
      </c>
      <c r="J37" s="1" t="s">
        <v>52</v>
      </c>
      <c r="K37" s="8" t="s">
        <v>24</v>
      </c>
      <c r="L37" s="8" t="s">
        <v>25</v>
      </c>
      <c r="M37" s="1" t="s">
        <v>26</v>
      </c>
      <c r="N37" s="1" t="s">
        <v>220</v>
      </c>
      <c r="O37" s="13">
        <v>46345</v>
      </c>
      <c r="P37" s="13">
        <v>46407</v>
      </c>
    </row>
    <row r="38" spans="1:16" ht="32">
      <c r="A38" s="1">
        <v>37</v>
      </c>
      <c r="B38" s="1" t="s">
        <v>221</v>
      </c>
      <c r="C38" s="1" t="s">
        <v>17</v>
      </c>
      <c r="D38" s="1" t="s">
        <v>222</v>
      </c>
      <c r="E38" s="1" t="s">
        <v>74</v>
      </c>
      <c r="F38" s="1" t="s">
        <v>20</v>
      </c>
      <c r="G38" s="1">
        <v>1</v>
      </c>
      <c r="H38" s="1" t="s">
        <v>223</v>
      </c>
      <c r="I38" s="1" t="s">
        <v>224</v>
      </c>
      <c r="J38" s="1" t="s">
        <v>23</v>
      </c>
      <c r="K38" s="8" t="s">
        <v>24</v>
      </c>
      <c r="L38" s="8" t="s">
        <v>25</v>
      </c>
      <c r="M38" s="1" t="s">
        <v>26</v>
      </c>
      <c r="N38" s="1" t="s">
        <v>225</v>
      </c>
      <c r="O38" s="13">
        <v>46352</v>
      </c>
      <c r="P38" s="13">
        <v>46358</v>
      </c>
    </row>
    <row r="39" spans="1:16" ht="32">
      <c r="A39" s="1">
        <v>38</v>
      </c>
      <c r="B39" s="1" t="s">
        <v>226</v>
      </c>
      <c r="C39" s="1" t="s">
        <v>17</v>
      </c>
      <c r="D39" s="1" t="s">
        <v>227</v>
      </c>
      <c r="E39" s="1" t="s">
        <v>115</v>
      </c>
      <c r="F39" s="1" t="s">
        <v>20</v>
      </c>
      <c r="G39" s="1">
        <v>2.1</v>
      </c>
      <c r="H39" s="1" t="s">
        <v>228</v>
      </c>
      <c r="I39" s="1" t="s">
        <v>229</v>
      </c>
      <c r="J39" s="1" t="s">
        <v>23</v>
      </c>
      <c r="K39" s="8" t="s">
        <v>24</v>
      </c>
      <c r="L39" s="8" t="s">
        <v>25</v>
      </c>
      <c r="M39" s="1" t="s">
        <v>26</v>
      </c>
      <c r="N39" s="1" t="s">
        <v>230</v>
      </c>
      <c r="O39" s="13">
        <v>46352</v>
      </c>
      <c r="P39" s="13">
        <v>46358</v>
      </c>
    </row>
    <row r="40" spans="1:16" ht="32">
      <c r="A40" s="1">
        <v>39</v>
      </c>
      <c r="B40" s="1" t="s">
        <v>231</v>
      </c>
      <c r="C40" s="1" t="s">
        <v>17</v>
      </c>
      <c r="D40" s="1" t="s">
        <v>232</v>
      </c>
      <c r="E40" s="1" t="s">
        <v>90</v>
      </c>
      <c r="F40" s="1" t="s">
        <v>20</v>
      </c>
      <c r="G40" s="1">
        <v>1</v>
      </c>
      <c r="H40" s="1" t="s">
        <v>233</v>
      </c>
      <c r="I40" s="1" t="s">
        <v>234</v>
      </c>
      <c r="J40" s="1" t="s">
        <v>23</v>
      </c>
      <c r="K40" s="8" t="s">
        <v>24</v>
      </c>
      <c r="L40" s="8" t="s">
        <v>25</v>
      </c>
      <c r="M40" s="1" t="s">
        <v>26</v>
      </c>
      <c r="N40" s="1" t="s">
        <v>235</v>
      </c>
      <c r="O40" s="13">
        <v>46352</v>
      </c>
      <c r="P40" s="13">
        <v>46358</v>
      </c>
    </row>
    <row r="41" spans="1:16" ht="32">
      <c r="A41" s="1">
        <v>40</v>
      </c>
      <c r="B41" s="1" t="s">
        <v>236</v>
      </c>
      <c r="C41" s="1" t="s">
        <v>101</v>
      </c>
      <c r="D41" s="1" t="s">
        <v>237</v>
      </c>
      <c r="E41" s="1" t="s">
        <v>151</v>
      </c>
      <c r="F41" s="1" t="s">
        <v>42</v>
      </c>
      <c r="G41" s="1"/>
      <c r="H41" s="1" t="s">
        <v>238</v>
      </c>
      <c r="I41" s="1" t="s">
        <v>239</v>
      </c>
      <c r="J41" s="1" t="s">
        <v>105</v>
      </c>
      <c r="K41" s="8" t="s">
        <v>24</v>
      </c>
      <c r="L41" s="8" t="s">
        <v>25</v>
      </c>
      <c r="M41" s="1" t="s">
        <v>26</v>
      </c>
      <c r="N41" s="1" t="s">
        <v>240</v>
      </c>
      <c r="O41" s="13">
        <v>46352</v>
      </c>
      <c r="P41" s="13">
        <v>46379</v>
      </c>
    </row>
    <row r="42" spans="1:16" ht="32">
      <c r="A42" s="1">
        <v>41</v>
      </c>
      <c r="B42" s="1" t="s">
        <v>241</v>
      </c>
      <c r="C42" s="1" t="s">
        <v>17</v>
      </c>
      <c r="D42" s="1" t="s">
        <v>242</v>
      </c>
      <c r="E42" s="1" t="s">
        <v>74</v>
      </c>
      <c r="F42" s="1" t="s">
        <v>20</v>
      </c>
      <c r="G42" s="1">
        <v>1.5</v>
      </c>
      <c r="H42" s="1" t="s">
        <v>243</v>
      </c>
      <c r="I42" s="1" t="s">
        <v>244</v>
      </c>
      <c r="J42" s="1" t="s">
        <v>23</v>
      </c>
      <c r="K42" s="8" t="s">
        <v>24</v>
      </c>
      <c r="L42" s="8" t="s">
        <v>25</v>
      </c>
      <c r="M42" s="1" t="s">
        <v>26</v>
      </c>
      <c r="N42" s="1" t="s">
        <v>245</v>
      </c>
      <c r="O42" s="13">
        <v>46359</v>
      </c>
      <c r="P42" s="13">
        <v>46365</v>
      </c>
    </row>
    <row r="43" spans="1:16" ht="32">
      <c r="A43" s="1">
        <v>42</v>
      </c>
      <c r="B43" s="1" t="s">
        <v>246</v>
      </c>
      <c r="C43" s="1" t="s">
        <v>17</v>
      </c>
      <c r="D43" s="1" t="s">
        <v>247</v>
      </c>
      <c r="E43" s="1" t="s">
        <v>115</v>
      </c>
      <c r="F43" s="1" t="s">
        <v>42</v>
      </c>
      <c r="G43" s="1">
        <v>0.9</v>
      </c>
      <c r="H43" s="1" t="s">
        <v>248</v>
      </c>
      <c r="I43" s="1" t="s">
        <v>249</v>
      </c>
      <c r="J43" s="1" t="s">
        <v>23</v>
      </c>
      <c r="K43" s="8" t="s">
        <v>24</v>
      </c>
      <c r="L43" s="8" t="s">
        <v>25</v>
      </c>
      <c r="M43" s="1" t="s">
        <v>26</v>
      </c>
      <c r="N43" s="1" t="s">
        <v>250</v>
      </c>
      <c r="O43" s="13">
        <v>46359</v>
      </c>
      <c r="P43" s="13">
        <v>46365</v>
      </c>
    </row>
    <row r="44" spans="1:16" ht="32">
      <c r="A44" s="1">
        <v>43</v>
      </c>
      <c r="B44" s="1" t="s">
        <v>251</v>
      </c>
      <c r="C44" s="1" t="s">
        <v>17</v>
      </c>
      <c r="D44" s="1" t="s">
        <v>252</v>
      </c>
      <c r="E44" s="1" t="s">
        <v>115</v>
      </c>
      <c r="F44" s="1" t="s">
        <v>20</v>
      </c>
      <c r="G44" s="1">
        <v>0.7</v>
      </c>
      <c r="H44" s="1" t="s">
        <v>253</v>
      </c>
      <c r="I44" s="1" t="s">
        <v>254</v>
      </c>
      <c r="J44" s="1" t="s">
        <v>23</v>
      </c>
      <c r="K44" s="8" t="s">
        <v>24</v>
      </c>
      <c r="L44" s="8" t="s">
        <v>25</v>
      </c>
      <c r="M44" s="1" t="s">
        <v>26</v>
      </c>
      <c r="N44" s="1" t="s">
        <v>255</v>
      </c>
      <c r="O44" s="13">
        <v>46359</v>
      </c>
      <c r="P44" s="13">
        <v>46365</v>
      </c>
    </row>
    <row r="45" spans="1:16" ht="48">
      <c r="A45" s="1">
        <v>44</v>
      </c>
      <c r="B45" s="1" t="s">
        <v>256</v>
      </c>
      <c r="C45" s="1" t="s">
        <v>17</v>
      </c>
      <c r="D45" s="1" t="s">
        <v>257</v>
      </c>
      <c r="E45" s="1" t="s">
        <v>258</v>
      </c>
      <c r="F45" s="1" t="s">
        <v>42</v>
      </c>
      <c r="G45" s="1">
        <v>8</v>
      </c>
      <c r="H45" s="1" t="s">
        <v>259</v>
      </c>
      <c r="I45" s="1" t="s">
        <v>260</v>
      </c>
      <c r="J45" s="1" t="s">
        <v>23</v>
      </c>
      <c r="K45" s="8" t="s">
        <v>24</v>
      </c>
      <c r="L45" s="8" t="s">
        <v>25</v>
      </c>
      <c r="M45" s="1" t="s">
        <v>26</v>
      </c>
      <c r="N45" s="1" t="s">
        <v>261</v>
      </c>
      <c r="O45" s="13">
        <v>46359</v>
      </c>
      <c r="P45" s="13">
        <v>46365</v>
      </c>
    </row>
    <row r="46" spans="1:16" ht="48">
      <c r="A46" s="1">
        <v>45</v>
      </c>
      <c r="B46" s="1" t="s">
        <v>262</v>
      </c>
      <c r="C46" s="1" t="s">
        <v>101</v>
      </c>
      <c r="D46" s="1" t="s">
        <v>263</v>
      </c>
      <c r="E46" s="1" t="s">
        <v>264</v>
      </c>
      <c r="F46" s="1" t="s">
        <v>20</v>
      </c>
      <c r="G46" s="1"/>
      <c r="H46" s="1" t="s">
        <v>265</v>
      </c>
      <c r="I46" s="1" t="s">
        <v>266</v>
      </c>
      <c r="J46" s="1" t="s">
        <v>105</v>
      </c>
      <c r="K46" s="8" t="s">
        <v>24</v>
      </c>
      <c r="L46" s="8" t="s">
        <v>25</v>
      </c>
      <c r="M46" s="1" t="s">
        <v>26</v>
      </c>
      <c r="N46" s="1" t="s">
        <v>267</v>
      </c>
      <c r="O46" s="13">
        <v>46359</v>
      </c>
      <c r="P46" s="13">
        <v>46407</v>
      </c>
    </row>
    <row r="47" spans="1:16" ht="48">
      <c r="A47" s="1">
        <v>46</v>
      </c>
      <c r="B47" s="1" t="s">
        <v>262</v>
      </c>
      <c r="C47" s="1" t="s">
        <v>101</v>
      </c>
      <c r="D47" s="1" t="s">
        <v>268</v>
      </c>
      <c r="E47" s="1" t="s">
        <v>151</v>
      </c>
      <c r="F47" s="1" t="s">
        <v>42</v>
      </c>
      <c r="G47" s="1"/>
      <c r="H47" s="1" t="s">
        <v>269</v>
      </c>
      <c r="I47" s="1" t="s">
        <v>270</v>
      </c>
      <c r="J47" s="1" t="s">
        <v>105</v>
      </c>
      <c r="K47" s="8" t="s">
        <v>24</v>
      </c>
      <c r="L47" s="8" t="s">
        <v>25</v>
      </c>
      <c r="M47" s="1" t="s">
        <v>26</v>
      </c>
      <c r="N47" s="1" t="s">
        <v>271</v>
      </c>
      <c r="O47" s="13">
        <v>46359</v>
      </c>
      <c r="P47" s="13">
        <v>46407</v>
      </c>
    </row>
    <row r="48" spans="1:16" ht="32">
      <c r="A48" s="1">
        <v>47</v>
      </c>
      <c r="B48" s="1" t="s">
        <v>272</v>
      </c>
      <c r="C48" s="1" t="s">
        <v>47</v>
      </c>
      <c r="D48" s="1" t="s">
        <v>273</v>
      </c>
      <c r="E48" s="1" t="s">
        <v>49</v>
      </c>
      <c r="F48" s="1" t="s">
        <v>42</v>
      </c>
      <c r="G48" s="1"/>
      <c r="H48" s="1" t="s">
        <v>274</v>
      </c>
      <c r="I48" s="1" t="s">
        <v>275</v>
      </c>
      <c r="J48" s="1" t="s">
        <v>52</v>
      </c>
      <c r="K48" s="8" t="s">
        <v>24</v>
      </c>
      <c r="L48" s="8" t="s">
        <v>25</v>
      </c>
      <c r="M48" s="1" t="s">
        <v>26</v>
      </c>
      <c r="N48" s="1" t="s">
        <v>276</v>
      </c>
      <c r="O48" s="13">
        <v>46359</v>
      </c>
      <c r="P48" s="13">
        <v>46435</v>
      </c>
    </row>
    <row r="49" spans="1:16" ht="32">
      <c r="A49" s="1">
        <v>48</v>
      </c>
      <c r="B49" s="1" t="s">
        <v>277</v>
      </c>
      <c r="C49" s="1" t="s">
        <v>17</v>
      </c>
      <c r="D49" s="1" t="s">
        <v>278</v>
      </c>
      <c r="E49" s="1" t="s">
        <v>35</v>
      </c>
      <c r="F49" s="1" t="s">
        <v>20</v>
      </c>
      <c r="G49" s="1">
        <v>2</v>
      </c>
      <c r="H49" s="1" t="s">
        <v>279</v>
      </c>
      <c r="I49" s="1" t="s">
        <v>280</v>
      </c>
      <c r="J49" s="1" t="s">
        <v>23</v>
      </c>
      <c r="K49" s="8" t="s">
        <v>24</v>
      </c>
      <c r="L49" s="8" t="s">
        <v>25</v>
      </c>
      <c r="M49" s="1" t="s">
        <v>26</v>
      </c>
      <c r="N49" s="1" t="s">
        <v>281</v>
      </c>
      <c r="O49" s="13">
        <v>46366</v>
      </c>
      <c r="P49" s="13">
        <v>46372</v>
      </c>
    </row>
    <row r="50" spans="1:16" ht="32">
      <c r="A50" s="1">
        <v>49</v>
      </c>
      <c r="B50" s="1" t="s">
        <v>282</v>
      </c>
      <c r="C50" s="1" t="s">
        <v>17</v>
      </c>
      <c r="D50" s="1" t="s">
        <v>283</v>
      </c>
      <c r="E50" s="1" t="s">
        <v>90</v>
      </c>
      <c r="F50" s="1" t="s">
        <v>20</v>
      </c>
      <c r="G50" s="1">
        <v>1.5</v>
      </c>
      <c r="H50" s="1" t="s">
        <v>284</v>
      </c>
      <c r="I50" s="1" t="s">
        <v>285</v>
      </c>
      <c r="J50" s="1" t="s">
        <v>23</v>
      </c>
      <c r="K50" s="8" t="s">
        <v>24</v>
      </c>
      <c r="L50" s="8" t="s">
        <v>25</v>
      </c>
      <c r="M50" s="1" t="s">
        <v>26</v>
      </c>
      <c r="N50" s="1" t="s">
        <v>286</v>
      </c>
      <c r="O50" s="13">
        <v>46366</v>
      </c>
      <c r="P50" s="13">
        <v>46372</v>
      </c>
    </row>
    <row r="51" spans="1:16" ht="32">
      <c r="A51" s="1">
        <v>50</v>
      </c>
      <c r="B51" s="1" t="s">
        <v>287</v>
      </c>
      <c r="C51" s="1" t="s">
        <v>17</v>
      </c>
      <c r="D51" s="1" t="s">
        <v>288</v>
      </c>
      <c r="E51" s="1" t="s">
        <v>19</v>
      </c>
      <c r="F51" s="1" t="s">
        <v>20</v>
      </c>
      <c r="G51" s="1">
        <v>5</v>
      </c>
      <c r="H51" s="1" t="s">
        <v>289</v>
      </c>
      <c r="I51" s="1" t="s">
        <v>290</v>
      </c>
      <c r="J51" s="1" t="s">
        <v>23</v>
      </c>
      <c r="K51" s="8" t="s">
        <v>24</v>
      </c>
      <c r="L51" s="8" t="s">
        <v>25</v>
      </c>
      <c r="M51" s="1" t="s">
        <v>26</v>
      </c>
      <c r="N51" s="1" t="s">
        <v>291</v>
      </c>
      <c r="O51" s="13">
        <v>46373</v>
      </c>
      <c r="P51" s="13">
        <v>46379</v>
      </c>
    </row>
    <row r="52" spans="1:16" ht="32">
      <c r="A52" s="1">
        <v>51</v>
      </c>
      <c r="B52" s="1" t="s">
        <v>292</v>
      </c>
      <c r="C52" s="1" t="s">
        <v>17</v>
      </c>
      <c r="D52" s="1" t="s">
        <v>293</v>
      </c>
      <c r="E52" s="1" t="s">
        <v>74</v>
      </c>
      <c r="F52" s="1" t="s">
        <v>20</v>
      </c>
      <c r="G52" s="1">
        <v>4.5</v>
      </c>
      <c r="H52" s="1" t="s">
        <v>294</v>
      </c>
      <c r="I52" s="1" t="s">
        <v>295</v>
      </c>
      <c r="J52" s="1" t="s">
        <v>23</v>
      </c>
      <c r="K52" s="8" t="s">
        <v>24</v>
      </c>
      <c r="L52" s="8" t="s">
        <v>25</v>
      </c>
      <c r="M52" s="1" t="s">
        <v>26</v>
      </c>
      <c r="N52" s="1" t="s">
        <v>296</v>
      </c>
      <c r="O52" s="13">
        <v>46373</v>
      </c>
      <c r="P52" s="13">
        <v>46379</v>
      </c>
    </row>
    <row r="53" spans="1:16" ht="48">
      <c r="A53" s="1">
        <v>52</v>
      </c>
      <c r="B53" s="1" t="s">
        <v>297</v>
      </c>
      <c r="C53" s="1" t="s">
        <v>101</v>
      </c>
      <c r="D53" s="1" t="s">
        <v>298</v>
      </c>
      <c r="E53" s="1" t="s">
        <v>151</v>
      </c>
      <c r="F53" s="1" t="s">
        <v>62</v>
      </c>
      <c r="G53" s="1"/>
      <c r="H53" s="1" t="s">
        <v>299</v>
      </c>
      <c r="I53" s="1" t="s">
        <v>300</v>
      </c>
      <c r="J53" s="1" t="s">
        <v>105</v>
      </c>
      <c r="K53" s="8" t="s">
        <v>24</v>
      </c>
      <c r="L53" s="8" t="s">
        <v>25</v>
      </c>
      <c r="M53" s="1" t="s">
        <v>26</v>
      </c>
      <c r="N53" s="1" t="s">
        <v>301</v>
      </c>
      <c r="O53" s="13">
        <v>46373</v>
      </c>
      <c r="P53" s="13">
        <v>46407</v>
      </c>
    </row>
    <row r="54" spans="1:16" ht="64">
      <c r="A54" s="1">
        <v>53</v>
      </c>
      <c r="B54" s="1" t="s">
        <v>302</v>
      </c>
      <c r="C54" s="1" t="s">
        <v>47</v>
      </c>
      <c r="D54" s="1" t="s">
        <v>303</v>
      </c>
      <c r="E54" s="1" t="s">
        <v>109</v>
      </c>
      <c r="F54" s="1" t="s">
        <v>42</v>
      </c>
      <c r="G54" s="1"/>
      <c r="H54" s="1" t="s">
        <v>304</v>
      </c>
      <c r="I54" s="1" t="s">
        <v>305</v>
      </c>
      <c r="J54" s="1" t="s">
        <v>52</v>
      </c>
      <c r="K54" s="8" t="s">
        <v>24</v>
      </c>
      <c r="L54" s="8" t="s">
        <v>25</v>
      </c>
      <c r="M54" s="1" t="s">
        <v>26</v>
      </c>
      <c r="N54" s="1" t="s">
        <v>306</v>
      </c>
      <c r="O54" s="13">
        <v>46373</v>
      </c>
      <c r="P54" s="13">
        <v>46407</v>
      </c>
    </row>
    <row r="55" spans="1:16" ht="64">
      <c r="A55" s="1">
        <v>54</v>
      </c>
      <c r="B55" s="1" t="s">
        <v>307</v>
      </c>
      <c r="C55" s="1" t="s">
        <v>47</v>
      </c>
      <c r="D55" s="1" t="s">
        <v>308</v>
      </c>
      <c r="E55" s="1" t="s">
        <v>56</v>
      </c>
      <c r="F55" s="1" t="s">
        <v>42</v>
      </c>
      <c r="G55" s="1"/>
      <c r="H55" s="1" t="s">
        <v>309</v>
      </c>
      <c r="I55" s="1" t="s">
        <v>310</v>
      </c>
      <c r="J55" s="1" t="s">
        <v>52</v>
      </c>
      <c r="K55" s="8" t="s">
        <v>24</v>
      </c>
      <c r="L55" s="8" t="s">
        <v>25</v>
      </c>
      <c r="M55" s="1" t="s">
        <v>26</v>
      </c>
      <c r="N55" s="1" t="s">
        <v>311</v>
      </c>
      <c r="O55" s="13">
        <v>46373</v>
      </c>
      <c r="P55" s="13">
        <v>46414</v>
      </c>
    </row>
    <row r="56" spans="1:16" ht="32">
      <c r="A56" s="1">
        <v>55</v>
      </c>
      <c r="B56" s="1" t="s">
        <v>312</v>
      </c>
      <c r="C56" s="1" t="s">
        <v>17</v>
      </c>
      <c r="D56" s="1" t="s">
        <v>313</v>
      </c>
      <c r="E56" s="1" t="s">
        <v>35</v>
      </c>
      <c r="F56" s="1" t="s">
        <v>42</v>
      </c>
      <c r="G56" s="1">
        <v>2</v>
      </c>
      <c r="H56" s="1" t="s">
        <v>314</v>
      </c>
      <c r="I56" s="1" t="s">
        <v>315</v>
      </c>
      <c r="J56" s="1" t="s">
        <v>23</v>
      </c>
      <c r="K56" s="8" t="s">
        <v>24</v>
      </c>
      <c r="L56" s="8" t="s">
        <v>25</v>
      </c>
      <c r="M56" s="1" t="s">
        <v>26</v>
      </c>
      <c r="N56" s="1" t="s">
        <v>316</v>
      </c>
      <c r="O56" s="13">
        <v>46380</v>
      </c>
      <c r="P56" s="13">
        <v>46386</v>
      </c>
    </row>
    <row r="57" spans="1:16" ht="32">
      <c r="A57" s="1">
        <v>56</v>
      </c>
      <c r="B57" s="1" t="s">
        <v>317</v>
      </c>
      <c r="C57" s="1" t="s">
        <v>17</v>
      </c>
      <c r="D57" s="1" t="s">
        <v>318</v>
      </c>
      <c r="E57" s="1" t="s">
        <v>19</v>
      </c>
      <c r="F57" s="1" t="s">
        <v>20</v>
      </c>
      <c r="G57" s="1">
        <v>1.75</v>
      </c>
      <c r="H57" s="1" t="s">
        <v>319</v>
      </c>
      <c r="I57" s="1" t="s">
        <v>320</v>
      </c>
      <c r="J57" s="1" t="s">
        <v>23</v>
      </c>
      <c r="K57" s="8" t="s">
        <v>24</v>
      </c>
      <c r="L57" s="8" t="s">
        <v>25</v>
      </c>
      <c r="M57" s="1" t="s">
        <v>26</v>
      </c>
      <c r="N57" s="1" t="s">
        <v>321</v>
      </c>
      <c r="O57" s="13">
        <v>46380</v>
      </c>
      <c r="P57" s="13">
        <v>46386</v>
      </c>
    </row>
    <row r="58" spans="1:16" ht="32">
      <c r="A58" s="1">
        <v>57</v>
      </c>
      <c r="B58" s="1" t="s">
        <v>322</v>
      </c>
      <c r="C58" s="1" t="s">
        <v>17</v>
      </c>
      <c r="D58" s="1" t="s">
        <v>323</v>
      </c>
      <c r="E58" s="1" t="s">
        <v>74</v>
      </c>
      <c r="F58" s="1" t="s">
        <v>20</v>
      </c>
      <c r="G58" s="1">
        <v>4.5</v>
      </c>
      <c r="H58" s="1" t="s">
        <v>324</v>
      </c>
      <c r="I58" s="1" t="s">
        <v>325</v>
      </c>
      <c r="J58" s="1" t="s">
        <v>23</v>
      </c>
      <c r="K58" s="8" t="s">
        <v>24</v>
      </c>
      <c r="L58" s="8" t="s">
        <v>25</v>
      </c>
      <c r="M58" s="1" t="s">
        <v>26</v>
      </c>
      <c r="N58" s="1" t="s">
        <v>326</v>
      </c>
      <c r="O58" s="13">
        <v>46387</v>
      </c>
      <c r="P58" s="13">
        <v>46393</v>
      </c>
    </row>
    <row r="59" spans="1:16" ht="32">
      <c r="A59" s="1">
        <v>58</v>
      </c>
      <c r="B59" s="1" t="s">
        <v>327</v>
      </c>
      <c r="C59" s="1" t="s">
        <v>17</v>
      </c>
      <c r="D59" s="1" t="s">
        <v>328</v>
      </c>
      <c r="E59" s="1" t="s">
        <v>329</v>
      </c>
      <c r="F59" s="1" t="s">
        <v>42</v>
      </c>
      <c r="G59" s="1">
        <v>1</v>
      </c>
      <c r="H59" s="1" t="s">
        <v>330</v>
      </c>
      <c r="I59" s="1" t="s">
        <v>331</v>
      </c>
      <c r="J59" s="1" t="s">
        <v>23</v>
      </c>
      <c r="K59" s="8" t="s">
        <v>24</v>
      </c>
      <c r="L59" s="8" t="s">
        <v>25</v>
      </c>
      <c r="M59" s="1" t="s">
        <v>26</v>
      </c>
      <c r="N59" s="1" t="s">
        <v>332</v>
      </c>
      <c r="O59" s="13">
        <v>46387</v>
      </c>
      <c r="P59" s="13">
        <v>46393</v>
      </c>
    </row>
    <row r="60" spans="1:16" ht="32">
      <c r="A60" s="1">
        <v>59</v>
      </c>
      <c r="B60" s="1" t="s">
        <v>333</v>
      </c>
      <c r="C60" s="1" t="s">
        <v>17</v>
      </c>
      <c r="D60" s="1" t="s">
        <v>334</v>
      </c>
      <c r="E60" s="1" t="s">
        <v>90</v>
      </c>
      <c r="F60" s="1" t="s">
        <v>20</v>
      </c>
      <c r="G60" s="1">
        <v>1</v>
      </c>
      <c r="H60" s="1" t="s">
        <v>335</v>
      </c>
      <c r="I60" s="1" t="s">
        <v>336</v>
      </c>
      <c r="J60" s="1" t="s">
        <v>23</v>
      </c>
      <c r="K60" s="8" t="s">
        <v>24</v>
      </c>
      <c r="L60" s="8" t="s">
        <v>25</v>
      </c>
      <c r="M60" s="1" t="s">
        <v>26</v>
      </c>
      <c r="N60" s="1" t="s">
        <v>337</v>
      </c>
      <c r="O60" s="13">
        <v>46387</v>
      </c>
      <c r="P60" s="13">
        <v>46393</v>
      </c>
    </row>
    <row r="61" spans="1:16" ht="48">
      <c r="A61" s="1">
        <v>60</v>
      </c>
      <c r="B61" s="1" t="s">
        <v>338</v>
      </c>
      <c r="C61" s="1" t="s">
        <v>339</v>
      </c>
      <c r="D61" s="1" t="s">
        <v>340</v>
      </c>
      <c r="E61" s="1" t="s">
        <v>341</v>
      </c>
      <c r="F61" s="1" t="s">
        <v>20</v>
      </c>
      <c r="G61" s="1"/>
      <c r="H61" s="1" t="s">
        <v>342</v>
      </c>
      <c r="I61" s="1" t="s">
        <v>343</v>
      </c>
      <c r="J61" s="1" t="s">
        <v>344</v>
      </c>
      <c r="K61" s="8" t="s">
        <v>24</v>
      </c>
      <c r="L61" s="8" t="s">
        <v>25</v>
      </c>
      <c r="M61" s="1" t="s">
        <v>26</v>
      </c>
      <c r="N61" s="1" t="s">
        <v>345</v>
      </c>
      <c r="O61" s="13">
        <v>46387</v>
      </c>
      <c r="P61" s="13">
        <v>46435</v>
      </c>
    </row>
    <row r="62" spans="1:16" ht="32">
      <c r="A62" s="1">
        <v>61</v>
      </c>
      <c r="B62" s="1" t="s">
        <v>338</v>
      </c>
      <c r="C62" s="1" t="s">
        <v>339</v>
      </c>
      <c r="D62" s="1" t="s">
        <v>346</v>
      </c>
      <c r="E62" s="1" t="s">
        <v>341</v>
      </c>
      <c r="F62" s="1" t="s">
        <v>20</v>
      </c>
      <c r="G62" s="1"/>
      <c r="H62" s="1" t="s">
        <v>347</v>
      </c>
      <c r="I62" s="1" t="s">
        <v>348</v>
      </c>
      <c r="J62" s="1" t="s">
        <v>344</v>
      </c>
      <c r="K62" s="8" t="s">
        <v>24</v>
      </c>
      <c r="L62" s="8" t="s">
        <v>25</v>
      </c>
      <c r="M62" s="1" t="s">
        <v>26</v>
      </c>
      <c r="N62" s="1" t="s">
        <v>349</v>
      </c>
      <c r="O62" s="13">
        <v>46387</v>
      </c>
      <c r="P62" s="13">
        <v>46435</v>
      </c>
    </row>
    <row r="63" spans="1:16" ht="48">
      <c r="A63" s="1">
        <v>62</v>
      </c>
      <c r="B63" s="1" t="s">
        <v>338</v>
      </c>
      <c r="C63" s="1" t="s">
        <v>339</v>
      </c>
      <c r="D63" s="1" t="s">
        <v>350</v>
      </c>
      <c r="E63" s="1" t="s">
        <v>351</v>
      </c>
      <c r="F63" s="1" t="s">
        <v>42</v>
      </c>
      <c r="G63" s="1"/>
      <c r="H63" s="1" t="s">
        <v>352</v>
      </c>
      <c r="I63" s="1" t="s">
        <v>353</v>
      </c>
      <c r="J63" s="1" t="s">
        <v>344</v>
      </c>
      <c r="K63" s="8" t="s">
        <v>24</v>
      </c>
      <c r="L63" s="8" t="s">
        <v>25</v>
      </c>
      <c r="M63" s="1" t="s">
        <v>26</v>
      </c>
      <c r="N63" s="1" t="s">
        <v>354</v>
      </c>
      <c r="O63" s="13">
        <v>46387</v>
      </c>
      <c r="P63" s="13">
        <v>46435</v>
      </c>
    </row>
    <row r="64" spans="1:16" ht="32">
      <c r="A64" s="1">
        <v>63</v>
      </c>
      <c r="B64" s="1" t="s">
        <v>355</v>
      </c>
      <c r="C64" s="1" t="s">
        <v>17</v>
      </c>
      <c r="D64" s="1" t="s">
        <v>356</v>
      </c>
      <c r="E64" s="1" t="s">
        <v>90</v>
      </c>
      <c r="F64" s="1" t="s">
        <v>20</v>
      </c>
      <c r="G64" s="1">
        <v>1</v>
      </c>
      <c r="H64" s="1" t="s">
        <v>357</v>
      </c>
      <c r="I64" s="1" t="s">
        <v>358</v>
      </c>
      <c r="J64" s="1" t="s">
        <v>23</v>
      </c>
      <c r="K64" s="8" t="s">
        <v>24</v>
      </c>
      <c r="L64" s="8" t="s">
        <v>25</v>
      </c>
      <c r="M64" s="1" t="s">
        <v>26</v>
      </c>
      <c r="N64" s="1" t="s">
        <v>359</v>
      </c>
      <c r="O64" s="13">
        <v>46394</v>
      </c>
      <c r="P64" s="13">
        <v>46400</v>
      </c>
    </row>
    <row r="65" spans="1:16" ht="48">
      <c r="A65" s="1">
        <v>64</v>
      </c>
      <c r="B65" s="1" t="s">
        <v>360</v>
      </c>
      <c r="C65" s="1" t="s">
        <v>17</v>
      </c>
      <c r="D65" s="1" t="s">
        <v>361</v>
      </c>
      <c r="E65" s="1" t="s">
        <v>258</v>
      </c>
      <c r="F65" s="1" t="s">
        <v>20</v>
      </c>
      <c r="G65" s="1">
        <v>10</v>
      </c>
      <c r="H65" s="1" t="s">
        <v>362</v>
      </c>
      <c r="I65" s="1" t="s">
        <v>363</v>
      </c>
      <c r="J65" s="1" t="s">
        <v>23</v>
      </c>
      <c r="K65" s="8" t="s">
        <v>24</v>
      </c>
      <c r="L65" s="8" t="s">
        <v>25</v>
      </c>
      <c r="M65" s="1" t="s">
        <v>26</v>
      </c>
      <c r="N65" s="1" t="s">
        <v>364</v>
      </c>
      <c r="O65" s="13">
        <v>46394</v>
      </c>
      <c r="P65" s="13">
        <v>46400</v>
      </c>
    </row>
    <row r="66" spans="1:16" ht="64">
      <c r="A66" s="1">
        <v>65</v>
      </c>
      <c r="B66" s="1" t="s">
        <v>365</v>
      </c>
      <c r="C66" s="1" t="s">
        <v>17</v>
      </c>
      <c r="D66" s="1" t="s">
        <v>366</v>
      </c>
      <c r="E66" s="1" t="s">
        <v>341</v>
      </c>
      <c r="F66" s="1" t="s">
        <v>20</v>
      </c>
      <c r="G66" s="1">
        <v>24</v>
      </c>
      <c r="H66" s="1" t="s">
        <v>367</v>
      </c>
      <c r="I66" s="1" t="s">
        <v>368</v>
      </c>
      <c r="J66" s="1" t="s">
        <v>23</v>
      </c>
      <c r="K66" s="8" t="s">
        <v>24</v>
      </c>
      <c r="L66" s="8" t="s">
        <v>25</v>
      </c>
      <c r="M66" s="1" t="s">
        <v>26</v>
      </c>
      <c r="N66" s="1" t="s">
        <v>369</v>
      </c>
      <c r="O66" s="13">
        <v>46394</v>
      </c>
      <c r="P66" s="13">
        <v>46400</v>
      </c>
    </row>
    <row r="67" spans="1:16" ht="32">
      <c r="A67" s="1">
        <v>66</v>
      </c>
      <c r="B67" s="1" t="s">
        <v>370</v>
      </c>
      <c r="C67" s="1" t="s">
        <v>17</v>
      </c>
      <c r="D67" s="1" t="s">
        <v>371</v>
      </c>
      <c r="E67" s="1" t="s">
        <v>372</v>
      </c>
      <c r="F67" s="1" t="s">
        <v>42</v>
      </c>
      <c r="G67" s="1">
        <v>21.1</v>
      </c>
      <c r="H67" s="1" t="s">
        <v>373</v>
      </c>
      <c r="I67" s="1" t="s">
        <v>374</v>
      </c>
      <c r="J67" s="1" t="s">
        <v>23</v>
      </c>
      <c r="K67" s="8" t="s">
        <v>24</v>
      </c>
      <c r="L67" s="8" t="s">
        <v>25</v>
      </c>
      <c r="M67" s="1" t="s">
        <v>26</v>
      </c>
      <c r="N67" s="1" t="s">
        <v>375</v>
      </c>
      <c r="O67" s="13">
        <v>46394</v>
      </c>
      <c r="P67" s="13">
        <v>46400</v>
      </c>
    </row>
    <row r="68" spans="1:16" ht="48">
      <c r="A68" s="1">
        <v>67</v>
      </c>
      <c r="B68" s="1" t="s">
        <v>376</v>
      </c>
      <c r="C68" s="1" t="s">
        <v>339</v>
      </c>
      <c r="D68" s="1" t="s">
        <v>377</v>
      </c>
      <c r="E68" s="1" t="s">
        <v>341</v>
      </c>
      <c r="F68" s="1" t="s">
        <v>20</v>
      </c>
      <c r="G68" s="1"/>
      <c r="H68" s="1" t="s">
        <v>378</v>
      </c>
      <c r="I68" s="1" t="s">
        <v>379</v>
      </c>
      <c r="J68" s="1" t="s">
        <v>344</v>
      </c>
      <c r="K68" s="8" t="s">
        <v>24</v>
      </c>
      <c r="L68" s="8" t="s">
        <v>25</v>
      </c>
      <c r="M68" s="1" t="s">
        <v>26</v>
      </c>
      <c r="N68" s="1" t="s">
        <v>380</v>
      </c>
      <c r="O68" s="13">
        <v>46394</v>
      </c>
      <c r="P68" s="13">
        <v>46407</v>
      </c>
    </row>
    <row r="69" spans="1:16" ht="32">
      <c r="A69" s="1">
        <v>68</v>
      </c>
      <c r="B69" s="1" t="s">
        <v>376</v>
      </c>
      <c r="C69" s="1" t="s">
        <v>339</v>
      </c>
      <c r="D69" s="1" t="s">
        <v>381</v>
      </c>
      <c r="E69" s="1" t="s">
        <v>382</v>
      </c>
      <c r="F69" s="1" t="s">
        <v>20</v>
      </c>
      <c r="G69" s="1"/>
      <c r="H69" s="1" t="s">
        <v>383</v>
      </c>
      <c r="I69" s="1" t="s">
        <v>384</v>
      </c>
      <c r="J69" s="1" t="s">
        <v>344</v>
      </c>
      <c r="K69" s="8" t="s">
        <v>24</v>
      </c>
      <c r="L69" s="8" t="s">
        <v>25</v>
      </c>
      <c r="M69" s="1" t="s">
        <v>26</v>
      </c>
      <c r="N69" s="1" t="s">
        <v>385</v>
      </c>
      <c r="O69" s="13">
        <v>46394</v>
      </c>
      <c r="P69" s="13">
        <v>46407</v>
      </c>
    </row>
    <row r="70" spans="1:16" ht="32">
      <c r="A70" s="1">
        <v>69</v>
      </c>
      <c r="B70" s="1" t="s">
        <v>386</v>
      </c>
      <c r="C70" s="1" t="s">
        <v>17</v>
      </c>
      <c r="D70" s="1" t="s">
        <v>387</v>
      </c>
      <c r="E70" s="1" t="s">
        <v>372</v>
      </c>
      <c r="F70" s="1" t="s">
        <v>42</v>
      </c>
      <c r="G70" s="1">
        <v>7.5</v>
      </c>
      <c r="H70" s="1" t="s">
        <v>388</v>
      </c>
      <c r="I70" s="1" t="s">
        <v>389</v>
      </c>
      <c r="J70" s="1" t="s">
        <v>23</v>
      </c>
      <c r="K70" s="8" t="s">
        <v>24</v>
      </c>
      <c r="L70" s="8" t="s">
        <v>25</v>
      </c>
      <c r="M70" s="1" t="s">
        <v>26</v>
      </c>
      <c r="N70" s="1" t="s">
        <v>390</v>
      </c>
      <c r="O70" s="13">
        <v>46401</v>
      </c>
      <c r="P70" s="13">
        <v>46407</v>
      </c>
    </row>
    <row r="71" spans="1:16" ht="32">
      <c r="A71" s="1">
        <v>70</v>
      </c>
      <c r="B71" s="1" t="s">
        <v>391</v>
      </c>
      <c r="C71" s="1" t="s">
        <v>17</v>
      </c>
      <c r="D71" s="1" t="s">
        <v>392</v>
      </c>
      <c r="E71" s="1" t="s">
        <v>115</v>
      </c>
      <c r="F71" s="1" t="s">
        <v>42</v>
      </c>
      <c r="G71" s="1">
        <v>16</v>
      </c>
      <c r="H71" s="1" t="s">
        <v>393</v>
      </c>
      <c r="I71" s="1" t="s">
        <v>394</v>
      </c>
      <c r="J71" s="1" t="s">
        <v>23</v>
      </c>
      <c r="K71" s="8" t="s">
        <v>24</v>
      </c>
      <c r="L71" s="8" t="s">
        <v>25</v>
      </c>
      <c r="M71" s="1" t="s">
        <v>26</v>
      </c>
      <c r="N71" s="1" t="s">
        <v>395</v>
      </c>
      <c r="O71" s="13">
        <v>46401</v>
      </c>
      <c r="P71" s="13">
        <v>46407</v>
      </c>
    </row>
    <row r="72" spans="1:16" ht="48">
      <c r="A72" s="1">
        <v>71</v>
      </c>
      <c r="B72" s="1" t="s">
        <v>396</v>
      </c>
      <c r="C72" s="1" t="s">
        <v>47</v>
      </c>
      <c r="D72" s="1" t="s">
        <v>397</v>
      </c>
      <c r="E72" s="1" t="s">
        <v>109</v>
      </c>
      <c r="F72" s="1" t="s">
        <v>42</v>
      </c>
      <c r="G72" s="1"/>
      <c r="H72" s="1" t="s">
        <v>398</v>
      </c>
      <c r="I72" s="1" t="s">
        <v>399</v>
      </c>
      <c r="J72" s="1" t="s">
        <v>52</v>
      </c>
      <c r="K72" s="8" t="s">
        <v>24</v>
      </c>
      <c r="L72" s="8" t="s">
        <v>25</v>
      </c>
      <c r="M72" s="1" t="s">
        <v>26</v>
      </c>
      <c r="N72" s="1" t="s">
        <v>400</v>
      </c>
      <c r="O72" s="13">
        <v>46401</v>
      </c>
      <c r="P72" s="13">
        <v>46435</v>
      </c>
    </row>
    <row r="73" spans="1:16" ht="48">
      <c r="A73" s="1">
        <v>72</v>
      </c>
      <c r="B73" s="1" t="s">
        <v>401</v>
      </c>
      <c r="C73" s="1" t="s">
        <v>339</v>
      </c>
      <c r="D73" s="1" t="s">
        <v>402</v>
      </c>
      <c r="E73" s="1" t="s">
        <v>382</v>
      </c>
      <c r="F73" s="1" t="s">
        <v>20</v>
      </c>
      <c r="G73" s="1"/>
      <c r="H73" s="1" t="s">
        <v>403</v>
      </c>
      <c r="I73" s="1" t="s">
        <v>404</v>
      </c>
      <c r="J73" s="1" t="s">
        <v>344</v>
      </c>
      <c r="K73" s="8" t="s">
        <v>24</v>
      </c>
      <c r="L73" s="8" t="s">
        <v>25</v>
      </c>
      <c r="M73" s="1" t="s">
        <v>26</v>
      </c>
      <c r="N73" s="1" t="s">
        <v>405</v>
      </c>
      <c r="O73" s="13">
        <v>46401</v>
      </c>
      <c r="P73" s="13">
        <v>46414</v>
      </c>
    </row>
    <row r="74" spans="1:16" ht="32">
      <c r="A74" s="1">
        <v>73</v>
      </c>
      <c r="B74" s="1" t="s">
        <v>401</v>
      </c>
      <c r="C74" s="1" t="s">
        <v>339</v>
      </c>
      <c r="D74" s="1" t="s">
        <v>406</v>
      </c>
      <c r="E74" s="1" t="s">
        <v>407</v>
      </c>
      <c r="F74" s="1" t="s">
        <v>20</v>
      </c>
      <c r="G74" s="1"/>
      <c r="H74" s="1" t="s">
        <v>408</v>
      </c>
      <c r="I74" s="1" t="s">
        <v>409</v>
      </c>
      <c r="J74" s="1" t="s">
        <v>344</v>
      </c>
      <c r="K74" s="8" t="s">
        <v>24</v>
      </c>
      <c r="L74" s="8" t="s">
        <v>25</v>
      </c>
      <c r="M74" s="1" t="s">
        <v>26</v>
      </c>
      <c r="N74" s="1" t="s">
        <v>410</v>
      </c>
      <c r="O74" s="13">
        <v>46401</v>
      </c>
      <c r="P74" s="13">
        <v>46414</v>
      </c>
    </row>
    <row r="75" spans="1:16" ht="48">
      <c r="A75" s="1">
        <v>74</v>
      </c>
      <c r="B75" s="1" t="s">
        <v>401</v>
      </c>
      <c r="C75" s="1" t="s">
        <v>339</v>
      </c>
      <c r="D75" s="1" t="s">
        <v>411</v>
      </c>
      <c r="E75" s="1" t="s">
        <v>407</v>
      </c>
      <c r="F75" s="1" t="s">
        <v>20</v>
      </c>
      <c r="G75" s="1"/>
      <c r="H75" s="1" t="s">
        <v>412</v>
      </c>
      <c r="I75" s="1" t="s">
        <v>413</v>
      </c>
      <c r="J75" s="1" t="s">
        <v>344</v>
      </c>
      <c r="K75" s="8" t="s">
        <v>24</v>
      </c>
      <c r="L75" s="8" t="s">
        <v>25</v>
      </c>
      <c r="M75" s="1" t="s">
        <v>26</v>
      </c>
      <c r="N75" s="1" t="s">
        <v>414</v>
      </c>
      <c r="O75" s="13">
        <v>46401</v>
      </c>
      <c r="P75" s="13">
        <v>46414</v>
      </c>
    </row>
    <row r="76" spans="1:16" ht="32">
      <c r="A76" s="1">
        <v>75</v>
      </c>
      <c r="B76" s="1" t="s">
        <v>415</v>
      </c>
      <c r="C76" s="1" t="s">
        <v>17</v>
      </c>
      <c r="D76" s="1" t="s">
        <v>416</v>
      </c>
      <c r="E76" s="1" t="s">
        <v>90</v>
      </c>
      <c r="F76" s="1" t="s">
        <v>20</v>
      </c>
      <c r="G76" s="1">
        <v>1</v>
      </c>
      <c r="H76" s="1" t="s">
        <v>417</v>
      </c>
      <c r="I76" s="1" t="s">
        <v>418</v>
      </c>
      <c r="J76" s="1" t="s">
        <v>23</v>
      </c>
      <c r="K76" s="8" t="s">
        <v>24</v>
      </c>
      <c r="L76" s="8" t="s">
        <v>25</v>
      </c>
      <c r="M76" s="1" t="s">
        <v>26</v>
      </c>
      <c r="N76" s="1" t="s">
        <v>419</v>
      </c>
      <c r="O76" s="13">
        <v>46408</v>
      </c>
      <c r="P76" s="13">
        <v>46414</v>
      </c>
    </row>
    <row r="77" spans="1:16" ht="32">
      <c r="A77" s="1">
        <v>76</v>
      </c>
      <c r="B77" s="1" t="s">
        <v>420</v>
      </c>
      <c r="C77" s="1" t="s">
        <v>17</v>
      </c>
      <c r="D77" s="1" t="s">
        <v>421</v>
      </c>
      <c r="E77" s="1" t="s">
        <v>96</v>
      </c>
      <c r="F77" s="1" t="s">
        <v>42</v>
      </c>
      <c r="G77" s="1">
        <v>0.8</v>
      </c>
      <c r="H77" s="1" t="s">
        <v>422</v>
      </c>
      <c r="I77" s="1" t="s">
        <v>423</v>
      </c>
      <c r="J77" s="1" t="s">
        <v>23</v>
      </c>
      <c r="K77" s="8" t="s">
        <v>24</v>
      </c>
      <c r="L77" s="8" t="s">
        <v>25</v>
      </c>
      <c r="M77" s="1" t="s">
        <v>26</v>
      </c>
      <c r="N77" s="1" t="s">
        <v>424</v>
      </c>
      <c r="O77" s="13">
        <v>46408</v>
      </c>
      <c r="P77" s="13">
        <v>46414</v>
      </c>
    </row>
    <row r="78" spans="1:16" ht="32">
      <c r="A78" s="1">
        <v>77</v>
      </c>
      <c r="B78" s="1" t="s">
        <v>425</v>
      </c>
      <c r="C78" s="1" t="s">
        <v>17</v>
      </c>
      <c r="D78" s="1" t="s">
        <v>426</v>
      </c>
      <c r="E78" s="1" t="s">
        <v>41</v>
      </c>
      <c r="F78" s="1" t="s">
        <v>62</v>
      </c>
      <c r="G78" s="1">
        <v>0.2</v>
      </c>
      <c r="H78" s="1" t="s">
        <v>427</v>
      </c>
      <c r="I78" s="1" t="s">
        <v>428</v>
      </c>
      <c r="J78" s="1" t="s">
        <v>23</v>
      </c>
      <c r="K78" s="8" t="s">
        <v>24</v>
      </c>
      <c r="L78" s="8" t="s">
        <v>25</v>
      </c>
      <c r="M78" s="1" t="s">
        <v>26</v>
      </c>
      <c r="N78" s="1" t="s">
        <v>429</v>
      </c>
      <c r="O78" s="13">
        <v>46408</v>
      </c>
      <c r="P78" s="13">
        <v>46414</v>
      </c>
    </row>
    <row r="79" spans="1:16" ht="32">
      <c r="A79" s="1">
        <v>78</v>
      </c>
      <c r="B79" s="1" t="s">
        <v>430</v>
      </c>
      <c r="C79" s="1" t="s">
        <v>17</v>
      </c>
      <c r="D79" s="1" t="s">
        <v>431</v>
      </c>
      <c r="E79" s="1" t="s">
        <v>41</v>
      </c>
      <c r="F79" s="1" t="s">
        <v>42</v>
      </c>
      <c r="G79" s="1">
        <v>0.25</v>
      </c>
      <c r="H79" s="1" t="s">
        <v>432</v>
      </c>
      <c r="I79" s="1" t="s">
        <v>433</v>
      </c>
      <c r="J79" s="1" t="s">
        <v>23</v>
      </c>
      <c r="K79" s="8" t="s">
        <v>24</v>
      </c>
      <c r="L79" s="8" t="s">
        <v>25</v>
      </c>
      <c r="M79" s="1" t="s">
        <v>26</v>
      </c>
      <c r="N79" s="1" t="s">
        <v>434</v>
      </c>
      <c r="O79" s="13">
        <v>46408</v>
      </c>
      <c r="P79" s="13">
        <v>46414</v>
      </c>
    </row>
    <row r="80" spans="1:16" ht="32">
      <c r="A80" s="1">
        <v>79</v>
      </c>
      <c r="B80" s="1" t="s">
        <v>435</v>
      </c>
      <c r="C80" s="1" t="s">
        <v>339</v>
      </c>
      <c r="D80" s="1" t="s">
        <v>436</v>
      </c>
      <c r="E80" s="1" t="s">
        <v>407</v>
      </c>
      <c r="F80" s="1" t="s">
        <v>20</v>
      </c>
      <c r="G80" s="1"/>
      <c r="H80" s="1" t="s">
        <v>437</v>
      </c>
      <c r="I80" s="1" t="s">
        <v>438</v>
      </c>
      <c r="J80" s="1" t="s">
        <v>344</v>
      </c>
      <c r="K80" s="8" t="s">
        <v>24</v>
      </c>
      <c r="L80" s="8" t="s">
        <v>25</v>
      </c>
      <c r="M80" s="1" t="s">
        <v>26</v>
      </c>
      <c r="N80" s="1" t="s">
        <v>439</v>
      </c>
      <c r="O80" s="13">
        <v>46408</v>
      </c>
      <c r="P80" s="13">
        <v>46421</v>
      </c>
    </row>
    <row r="81" spans="1:16" ht="32">
      <c r="A81" s="1">
        <v>80</v>
      </c>
      <c r="B81" s="1" t="s">
        <v>435</v>
      </c>
      <c r="C81" s="1" t="s">
        <v>339</v>
      </c>
      <c r="D81" s="1" t="s">
        <v>440</v>
      </c>
      <c r="E81" s="1" t="s">
        <v>441</v>
      </c>
      <c r="F81" s="1" t="s">
        <v>20</v>
      </c>
      <c r="G81" s="1"/>
      <c r="H81" s="1" t="s">
        <v>442</v>
      </c>
      <c r="I81" s="1" t="s">
        <v>443</v>
      </c>
      <c r="J81" s="1" t="s">
        <v>344</v>
      </c>
      <c r="K81" s="8" t="s">
        <v>24</v>
      </c>
      <c r="L81" s="8" t="s">
        <v>25</v>
      </c>
      <c r="M81" s="1" t="s">
        <v>26</v>
      </c>
      <c r="N81" s="1" t="s">
        <v>444</v>
      </c>
      <c r="O81" s="13">
        <v>46408</v>
      </c>
      <c r="P81" s="13">
        <v>46421</v>
      </c>
    </row>
    <row r="82" spans="1:16" ht="32">
      <c r="A82" s="1">
        <v>81</v>
      </c>
      <c r="B82" s="1" t="s">
        <v>445</v>
      </c>
      <c r="C82" s="1" t="s">
        <v>17</v>
      </c>
      <c r="D82" s="1" t="s">
        <v>446</v>
      </c>
      <c r="E82" s="1" t="s">
        <v>181</v>
      </c>
      <c r="F82" s="1" t="s">
        <v>20</v>
      </c>
      <c r="G82" s="1">
        <v>12</v>
      </c>
      <c r="H82" s="1" t="s">
        <v>447</v>
      </c>
      <c r="I82" s="1" t="s">
        <v>448</v>
      </c>
      <c r="J82" s="1" t="s">
        <v>23</v>
      </c>
      <c r="K82" s="8" t="s">
        <v>24</v>
      </c>
      <c r="L82" s="8" t="s">
        <v>449</v>
      </c>
      <c r="M82" s="1" t="s">
        <v>26</v>
      </c>
      <c r="N82" s="1" t="s">
        <v>450</v>
      </c>
      <c r="O82" s="13">
        <v>46415</v>
      </c>
      <c r="P82" s="13">
        <v>46421</v>
      </c>
    </row>
    <row r="83" spans="1:16" ht="48">
      <c r="A83" s="1">
        <v>82</v>
      </c>
      <c r="B83" s="1" t="s">
        <v>451</v>
      </c>
      <c r="C83" s="1" t="s">
        <v>339</v>
      </c>
      <c r="D83" s="1" t="s">
        <v>452</v>
      </c>
      <c r="E83" s="1" t="s">
        <v>382</v>
      </c>
      <c r="F83" s="1" t="s">
        <v>42</v>
      </c>
      <c r="G83" s="1"/>
      <c r="H83" s="1" t="s">
        <v>453</v>
      </c>
      <c r="I83" s="1" t="s">
        <v>454</v>
      </c>
      <c r="J83" s="1" t="s">
        <v>344</v>
      </c>
      <c r="K83" s="8" t="s">
        <v>24</v>
      </c>
      <c r="L83" s="8" t="s">
        <v>25</v>
      </c>
      <c r="M83" s="1" t="s">
        <v>26</v>
      </c>
      <c r="N83" s="1" t="s">
        <v>455</v>
      </c>
      <c r="O83" s="13">
        <v>46415</v>
      </c>
      <c r="P83" s="13">
        <v>46428</v>
      </c>
    </row>
    <row r="84" spans="1:16" ht="32">
      <c r="A84" s="1">
        <v>83</v>
      </c>
      <c r="B84" s="1" t="s">
        <v>456</v>
      </c>
      <c r="C84" s="1" t="s">
        <v>17</v>
      </c>
      <c r="D84" s="1" t="s">
        <v>457</v>
      </c>
      <c r="E84" s="1" t="s">
        <v>181</v>
      </c>
      <c r="F84" s="1" t="s">
        <v>20</v>
      </c>
      <c r="G84" s="1">
        <v>8</v>
      </c>
      <c r="H84" s="1" t="s">
        <v>458</v>
      </c>
      <c r="I84" s="1" t="s">
        <v>459</v>
      </c>
      <c r="J84" s="1" t="s">
        <v>23</v>
      </c>
      <c r="K84" s="8" t="s">
        <v>24</v>
      </c>
      <c r="L84" s="8" t="s">
        <v>449</v>
      </c>
      <c r="M84" s="1" t="s">
        <v>26</v>
      </c>
      <c r="N84" s="1" t="s">
        <v>460</v>
      </c>
      <c r="O84" s="13">
        <v>46422</v>
      </c>
      <c r="P84" s="13">
        <v>46428</v>
      </c>
    </row>
    <row r="85" spans="1:16" ht="32">
      <c r="A85" s="1">
        <v>84</v>
      </c>
      <c r="B85" s="1" t="s">
        <v>461</v>
      </c>
      <c r="C85" s="1" t="s">
        <v>17</v>
      </c>
      <c r="D85" s="1" t="s">
        <v>462</v>
      </c>
      <c r="E85" s="1" t="s">
        <v>181</v>
      </c>
      <c r="F85" s="1" t="s">
        <v>20</v>
      </c>
      <c r="G85" s="1">
        <v>8</v>
      </c>
      <c r="H85" s="1" t="s">
        <v>463</v>
      </c>
      <c r="I85" s="1" t="s">
        <v>464</v>
      </c>
      <c r="J85" s="1" t="s">
        <v>23</v>
      </c>
      <c r="K85" s="8" t="s">
        <v>24</v>
      </c>
      <c r="L85" s="8" t="s">
        <v>449</v>
      </c>
      <c r="M85" s="1" t="s">
        <v>26</v>
      </c>
      <c r="N85" s="1" t="s">
        <v>465</v>
      </c>
      <c r="O85" s="13">
        <v>46422</v>
      </c>
      <c r="P85" s="13">
        <v>46428</v>
      </c>
    </row>
    <row r="86" spans="1:16" ht="32">
      <c r="A86" s="1">
        <v>85</v>
      </c>
      <c r="B86" s="1" t="s">
        <v>466</v>
      </c>
      <c r="C86" s="1" t="s">
        <v>17</v>
      </c>
      <c r="D86" s="1" t="s">
        <v>467</v>
      </c>
      <c r="E86" s="1" t="s">
        <v>181</v>
      </c>
      <c r="F86" s="1" t="s">
        <v>20</v>
      </c>
      <c r="G86" s="1">
        <v>16</v>
      </c>
      <c r="H86" s="1" t="s">
        <v>468</v>
      </c>
      <c r="I86" s="1" t="s">
        <v>469</v>
      </c>
      <c r="J86" s="1" t="s">
        <v>23</v>
      </c>
      <c r="K86" s="8" t="s">
        <v>24</v>
      </c>
      <c r="L86" s="8" t="s">
        <v>449</v>
      </c>
      <c r="M86" s="1" t="s">
        <v>26</v>
      </c>
      <c r="N86" s="1" t="s">
        <v>470</v>
      </c>
      <c r="O86" s="13">
        <v>46429</v>
      </c>
      <c r="P86" s="13">
        <v>46435</v>
      </c>
    </row>
    <row r="87" spans="1:16" ht="32">
      <c r="A87" s="1">
        <v>86</v>
      </c>
      <c r="B87" s="1" t="s">
        <v>471</v>
      </c>
      <c r="C87" s="1" t="s">
        <v>17</v>
      </c>
      <c r="D87" s="1" t="s">
        <v>472</v>
      </c>
      <c r="E87" s="1" t="s">
        <v>181</v>
      </c>
      <c r="F87" s="1" t="s">
        <v>20</v>
      </c>
      <c r="G87" s="1">
        <v>4</v>
      </c>
      <c r="H87" s="1" t="s">
        <v>473</v>
      </c>
      <c r="I87" s="1" t="s">
        <v>474</v>
      </c>
      <c r="J87" s="1" t="s">
        <v>23</v>
      </c>
      <c r="K87" s="8" t="s">
        <v>24</v>
      </c>
      <c r="L87" s="8" t="s">
        <v>449</v>
      </c>
      <c r="M87" s="1" t="s">
        <v>26</v>
      </c>
      <c r="N87" s="1" t="s">
        <v>475</v>
      </c>
      <c r="O87" s="13">
        <v>46429</v>
      </c>
      <c r="P87" s="13">
        <v>46435</v>
      </c>
    </row>
  </sheetData>
  <conditionalFormatting sqref="F2:F87">
    <cfRule type="expression" dxfId="21" priority="1">
      <formula>F2="VERY HIGH"</formula>
    </cfRule>
    <cfRule type="expression" dxfId="20" priority="2">
      <formula>F2="HIGH"</formula>
    </cfRule>
    <cfRule type="expression" dxfId="19" priority="3">
      <formula>F2="MEDIUM"</formula>
    </cfRule>
  </conditionalFormatting>
  <dataValidations count="2">
    <dataValidation type="list" sqref="F2:F87" xr:uid="{00000000-0002-0000-0000-000000000000}">
      <formula1>"VERY HIGH,HIGH,MEDIUM"</formula1>
    </dataValidation>
    <dataValidation type="list" sqref="M2:M87" xr:uid="{00000000-0002-0000-0000-000001000000}">
      <formula1>"Not Started,In Progress,Done,Skipped"</formula1>
    </dataValidation>
  </dataValidations>
  <hyperlinks>
    <hyperlink ref="K2" location="'Roadmap'!A2" display="Go to detail" xr:uid="{00000000-0004-0000-0000-000000000000}"/>
    <hyperlink ref="L2" r:id="rId1" xr:uid="{00000000-0004-0000-0000-000001000000}"/>
    <hyperlink ref="K3" location="'Roadmap'!A3" display="Go to detail" xr:uid="{00000000-0004-0000-0000-000002000000}"/>
    <hyperlink ref="L3" r:id="rId2" xr:uid="{00000000-0004-0000-0000-000003000000}"/>
    <hyperlink ref="K4" location="'Roadmap'!A4" display="Go to detail" xr:uid="{00000000-0004-0000-0000-000004000000}"/>
    <hyperlink ref="L4" r:id="rId3" xr:uid="{00000000-0004-0000-0000-000005000000}"/>
    <hyperlink ref="K5" location="'Roadmap'!A5" display="Go to detail" xr:uid="{00000000-0004-0000-0000-000006000000}"/>
    <hyperlink ref="L5" r:id="rId4" xr:uid="{00000000-0004-0000-0000-000007000000}"/>
    <hyperlink ref="K6" location="'CS + Interview Track'!A2" display="Go to detail" xr:uid="{00000000-0004-0000-0000-000008000000}"/>
    <hyperlink ref="L6" r:id="rId5" xr:uid="{00000000-0004-0000-0000-000009000000}"/>
    <hyperlink ref="K7" location="'CS + Interview Track'!A8" display="Go to detail" xr:uid="{00000000-0004-0000-0000-00000A000000}"/>
    <hyperlink ref="L7" r:id="rId6" xr:uid="{00000000-0004-0000-0000-00000B000000}"/>
    <hyperlink ref="K8" location="'CS + Interview Track'!A11" display="Go to detail" xr:uid="{00000000-0004-0000-0000-00000C000000}"/>
    <hyperlink ref="L8" r:id="rId7" xr:uid="{00000000-0004-0000-0000-00000D000000}"/>
    <hyperlink ref="K9" location="'CS + Interview Track'!A12" display="Go to detail" xr:uid="{00000000-0004-0000-0000-00000E000000}"/>
    <hyperlink ref="L9" r:id="rId8" xr:uid="{00000000-0004-0000-0000-00000F000000}"/>
    <hyperlink ref="K10" location="'Roadmap'!A6" display="Go to detail" xr:uid="{00000000-0004-0000-0000-000010000000}"/>
    <hyperlink ref="L10" r:id="rId9" xr:uid="{00000000-0004-0000-0000-000011000000}"/>
    <hyperlink ref="K11" location="'Roadmap'!A7" display="Go to detail" xr:uid="{00000000-0004-0000-0000-000012000000}"/>
    <hyperlink ref="L11" r:id="rId10" xr:uid="{00000000-0004-0000-0000-000013000000}"/>
    <hyperlink ref="K12" location="'Roadmap'!A8" display="Go to detail" xr:uid="{00000000-0004-0000-0000-000014000000}"/>
    <hyperlink ref="L12" r:id="rId11" xr:uid="{00000000-0004-0000-0000-000015000000}"/>
    <hyperlink ref="K13" location="'Roadmap'!A9" display="Go to detail" xr:uid="{00000000-0004-0000-0000-000016000000}"/>
    <hyperlink ref="L13" r:id="rId12" xr:uid="{00000000-0004-0000-0000-000017000000}"/>
    <hyperlink ref="K14" location="'Roadmap'!A10" display="Go to detail" xr:uid="{00000000-0004-0000-0000-000018000000}"/>
    <hyperlink ref="L14" r:id="rId13" xr:uid="{00000000-0004-0000-0000-000019000000}"/>
    <hyperlink ref="K15" location="'Data + RAG Track'!A2" display="Go to detail" xr:uid="{00000000-0004-0000-0000-00001A000000}"/>
    <hyperlink ref="L15" r:id="rId14" xr:uid="{00000000-0004-0000-0000-00001B000000}"/>
    <hyperlink ref="K16" location="'CS + Interview Track'!A4" display="Go to detail" xr:uid="{00000000-0004-0000-0000-00001C000000}"/>
    <hyperlink ref="L16" r:id="rId15" xr:uid="{00000000-0004-0000-0000-00001D000000}"/>
    <hyperlink ref="K17" location="'Roadmap'!A11" display="Go to detail" xr:uid="{00000000-0004-0000-0000-00001E000000}"/>
    <hyperlink ref="L17" r:id="rId16" xr:uid="{00000000-0004-0000-0000-00001F000000}"/>
    <hyperlink ref="K18" location="'Roadmap'!A12" display="Go to detail" xr:uid="{00000000-0004-0000-0000-000020000000}"/>
    <hyperlink ref="L18" r:id="rId17" xr:uid="{00000000-0004-0000-0000-000021000000}"/>
    <hyperlink ref="K19" location="'Roadmap'!A13" display="Go to detail" xr:uid="{00000000-0004-0000-0000-000022000000}"/>
    <hyperlink ref="L19" r:id="rId18" xr:uid="{00000000-0004-0000-0000-000023000000}"/>
    <hyperlink ref="K20" location="'Data + RAG Track'!A3" display="Go to detail" xr:uid="{00000000-0004-0000-0000-000024000000}"/>
    <hyperlink ref="L20" r:id="rId19" xr:uid="{00000000-0004-0000-0000-000025000000}"/>
    <hyperlink ref="K21" location="'Roadmap'!A14" display="Go to detail" xr:uid="{00000000-0004-0000-0000-000026000000}"/>
    <hyperlink ref="L21" r:id="rId20" xr:uid="{00000000-0004-0000-0000-000027000000}"/>
    <hyperlink ref="K22" location="'Roadmap'!A15" display="Go to detail" xr:uid="{00000000-0004-0000-0000-000028000000}"/>
    <hyperlink ref="L22" r:id="rId21" xr:uid="{00000000-0004-0000-0000-000029000000}"/>
    <hyperlink ref="K23" location="'Roadmap'!A16" display="Go to detail" xr:uid="{00000000-0004-0000-0000-00002A000000}"/>
    <hyperlink ref="L23" r:id="rId22" xr:uid="{00000000-0004-0000-0000-00002B000000}"/>
    <hyperlink ref="K24" location="'Data + RAG Track'!A4" display="Go to detail" xr:uid="{00000000-0004-0000-0000-00002C000000}"/>
    <hyperlink ref="L24" r:id="rId23" xr:uid="{00000000-0004-0000-0000-00002D000000}"/>
    <hyperlink ref="K25" location="'Data + RAG Track'!A5" display="Go to detail" xr:uid="{00000000-0004-0000-0000-00002E000000}"/>
    <hyperlink ref="L25" r:id="rId24" xr:uid="{00000000-0004-0000-0000-00002F000000}"/>
    <hyperlink ref="K26" location="'CS + Interview Track'!A9" display="Go to detail" xr:uid="{00000000-0004-0000-0000-000030000000}"/>
    <hyperlink ref="L26" r:id="rId25" xr:uid="{00000000-0004-0000-0000-000031000000}"/>
    <hyperlink ref="K27" location="'Roadmap'!A17" display="Go to detail" xr:uid="{00000000-0004-0000-0000-000032000000}"/>
    <hyperlink ref="L27" r:id="rId26" xr:uid="{00000000-0004-0000-0000-000033000000}"/>
    <hyperlink ref="K28" location="'Roadmap'!A18" display="Go to detail" xr:uid="{00000000-0004-0000-0000-000034000000}"/>
    <hyperlink ref="L28" r:id="rId27" xr:uid="{00000000-0004-0000-0000-000035000000}"/>
    <hyperlink ref="K29" location="'Roadmap'!A19" display="Go to detail" xr:uid="{00000000-0004-0000-0000-000036000000}"/>
    <hyperlink ref="L29" r:id="rId28" xr:uid="{00000000-0004-0000-0000-000037000000}"/>
    <hyperlink ref="K30" location="'Data + RAG Track'!A6" display="Go to detail" xr:uid="{00000000-0004-0000-0000-000038000000}"/>
    <hyperlink ref="L30" r:id="rId29" xr:uid="{00000000-0004-0000-0000-000039000000}"/>
    <hyperlink ref="K31" location="'Roadmap'!A20" display="Go to detail" xr:uid="{00000000-0004-0000-0000-00003A000000}"/>
    <hyperlink ref="L31" r:id="rId30" xr:uid="{00000000-0004-0000-0000-00003B000000}"/>
    <hyperlink ref="K32" location="'Roadmap'!A21" display="Go to detail" xr:uid="{00000000-0004-0000-0000-00003C000000}"/>
    <hyperlink ref="L32" r:id="rId31" xr:uid="{00000000-0004-0000-0000-00003D000000}"/>
    <hyperlink ref="K33" location="'Data + RAG Track'!A7" display="Go to detail" xr:uid="{00000000-0004-0000-0000-00003E000000}"/>
    <hyperlink ref="L33" r:id="rId32" xr:uid="{00000000-0004-0000-0000-00003F000000}"/>
    <hyperlink ref="K34" location="'Roadmap'!A22" display="Go to detail" xr:uid="{00000000-0004-0000-0000-000040000000}"/>
    <hyperlink ref="L34" r:id="rId33" xr:uid="{00000000-0004-0000-0000-000041000000}"/>
    <hyperlink ref="K35" location="'Roadmap'!A23" display="Go to detail" xr:uid="{00000000-0004-0000-0000-000042000000}"/>
    <hyperlink ref="L35" r:id="rId34" xr:uid="{00000000-0004-0000-0000-000043000000}"/>
    <hyperlink ref="K36" location="'Data + RAG Track'!A8" display="Go to detail" xr:uid="{00000000-0004-0000-0000-000044000000}"/>
    <hyperlink ref="L36" r:id="rId35" xr:uid="{00000000-0004-0000-0000-000045000000}"/>
    <hyperlink ref="K37" location="'CS + Interview Track'!A5" display="Go to detail" xr:uid="{00000000-0004-0000-0000-000046000000}"/>
    <hyperlink ref="L37" r:id="rId36" xr:uid="{00000000-0004-0000-0000-000047000000}"/>
    <hyperlink ref="K38" location="'Roadmap'!A24" display="Go to detail" xr:uid="{00000000-0004-0000-0000-000048000000}"/>
    <hyperlink ref="L38" r:id="rId37" xr:uid="{00000000-0004-0000-0000-000049000000}"/>
    <hyperlink ref="K39" location="'Roadmap'!A25" display="Go to detail" xr:uid="{00000000-0004-0000-0000-00004A000000}"/>
    <hyperlink ref="L39" r:id="rId38" xr:uid="{00000000-0004-0000-0000-00004B000000}"/>
    <hyperlink ref="K40" location="'Roadmap'!A26" display="Go to detail" xr:uid="{00000000-0004-0000-0000-00004C000000}"/>
    <hyperlink ref="L40" r:id="rId39" xr:uid="{00000000-0004-0000-0000-00004D000000}"/>
    <hyperlink ref="K41" location="'Data + RAG Track'!A9" display="Go to detail" xr:uid="{00000000-0004-0000-0000-00004E000000}"/>
    <hyperlink ref="L41" r:id="rId40" xr:uid="{00000000-0004-0000-0000-00004F000000}"/>
    <hyperlink ref="K42" location="'Roadmap'!A27" display="Go to detail" xr:uid="{00000000-0004-0000-0000-000050000000}"/>
    <hyperlink ref="L42" r:id="rId41" xr:uid="{00000000-0004-0000-0000-000051000000}"/>
    <hyperlink ref="K43" location="'Roadmap'!A28" display="Go to detail" xr:uid="{00000000-0004-0000-0000-000052000000}"/>
    <hyperlink ref="L43" r:id="rId42" xr:uid="{00000000-0004-0000-0000-000053000000}"/>
    <hyperlink ref="K44" location="'Roadmap'!A29" display="Go to detail" xr:uid="{00000000-0004-0000-0000-000054000000}"/>
    <hyperlink ref="L44" r:id="rId43" xr:uid="{00000000-0004-0000-0000-000055000000}"/>
    <hyperlink ref="K45" location="'Roadmap'!A30" display="Go to detail" xr:uid="{00000000-0004-0000-0000-000056000000}"/>
    <hyperlink ref="L45" r:id="rId44" xr:uid="{00000000-0004-0000-0000-000057000000}"/>
    <hyperlink ref="K46" location="'Data + RAG Track'!A11" display="Go to detail" xr:uid="{00000000-0004-0000-0000-000058000000}"/>
    <hyperlink ref="L46" r:id="rId45" xr:uid="{00000000-0004-0000-0000-000059000000}"/>
    <hyperlink ref="K47" location="'Data + RAG Track'!A12" display="Go to detail" xr:uid="{00000000-0004-0000-0000-00005A000000}"/>
    <hyperlink ref="L47" r:id="rId46" xr:uid="{00000000-0004-0000-0000-00005B000000}"/>
    <hyperlink ref="K48" location="'CS + Interview Track'!A3" display="Go to detail" xr:uid="{00000000-0004-0000-0000-00005C000000}"/>
    <hyperlink ref="L48" r:id="rId47" xr:uid="{00000000-0004-0000-0000-00005D000000}"/>
    <hyperlink ref="K49" location="'Roadmap'!A31" display="Go to detail" xr:uid="{00000000-0004-0000-0000-00005E000000}"/>
    <hyperlink ref="L49" r:id="rId48" xr:uid="{00000000-0004-0000-0000-00005F000000}"/>
    <hyperlink ref="K50" location="'Roadmap'!A32" display="Go to detail" xr:uid="{00000000-0004-0000-0000-000060000000}"/>
    <hyperlink ref="L50" r:id="rId49" xr:uid="{00000000-0004-0000-0000-000061000000}"/>
    <hyperlink ref="K51" location="'Roadmap'!A33" display="Go to detail" xr:uid="{00000000-0004-0000-0000-000062000000}"/>
    <hyperlink ref="L51" r:id="rId50" xr:uid="{00000000-0004-0000-0000-000063000000}"/>
    <hyperlink ref="K52" location="'Roadmap'!A34" display="Go to detail" xr:uid="{00000000-0004-0000-0000-000064000000}"/>
    <hyperlink ref="L52" r:id="rId51" xr:uid="{00000000-0004-0000-0000-000065000000}"/>
    <hyperlink ref="K53" location="'Data + RAG Track'!A10" display="Go to detail" xr:uid="{00000000-0004-0000-0000-000066000000}"/>
    <hyperlink ref="L53" r:id="rId52" xr:uid="{00000000-0004-0000-0000-000067000000}"/>
    <hyperlink ref="K54" location="'CS + Interview Track'!A6" display="Go to detail" xr:uid="{00000000-0004-0000-0000-000068000000}"/>
    <hyperlink ref="L54" r:id="rId53" xr:uid="{00000000-0004-0000-0000-000069000000}"/>
    <hyperlink ref="K55" location="'CS + Interview Track'!A10" display="Go to detail" xr:uid="{00000000-0004-0000-0000-00006A000000}"/>
    <hyperlink ref="L55" r:id="rId54" xr:uid="{00000000-0004-0000-0000-00006B000000}"/>
    <hyperlink ref="K56" location="'Roadmap'!A35" display="Go to detail" xr:uid="{00000000-0004-0000-0000-00006C000000}"/>
    <hyperlink ref="L56" r:id="rId55" xr:uid="{00000000-0004-0000-0000-00006D000000}"/>
    <hyperlink ref="K57" location="'Roadmap'!A36" display="Go to detail" xr:uid="{00000000-0004-0000-0000-00006E000000}"/>
    <hyperlink ref="L57" r:id="rId56" xr:uid="{00000000-0004-0000-0000-00006F000000}"/>
    <hyperlink ref="K58" location="'Roadmap'!A37" display="Go to detail" xr:uid="{00000000-0004-0000-0000-000070000000}"/>
    <hyperlink ref="L58" r:id="rId57" xr:uid="{00000000-0004-0000-0000-000071000000}"/>
    <hyperlink ref="K59" location="'Roadmap'!A38" display="Go to detail" xr:uid="{00000000-0004-0000-0000-000072000000}"/>
    <hyperlink ref="L59" r:id="rId58" xr:uid="{00000000-0004-0000-0000-000073000000}"/>
    <hyperlink ref="K60" location="'Roadmap'!A39" display="Go to detail" xr:uid="{00000000-0004-0000-0000-000074000000}"/>
    <hyperlink ref="L60" r:id="rId59" xr:uid="{00000000-0004-0000-0000-000075000000}"/>
    <hyperlink ref="K61" location="'Stanford Research Track'!A4" display="Go to detail" xr:uid="{00000000-0004-0000-0000-000076000000}"/>
    <hyperlink ref="L61" r:id="rId60" xr:uid="{00000000-0004-0000-0000-000077000000}"/>
    <hyperlink ref="K62" location="'Stanford Research Track'!A5" display="Go to detail" xr:uid="{00000000-0004-0000-0000-000078000000}"/>
    <hyperlink ref="L62" r:id="rId61" xr:uid="{00000000-0004-0000-0000-000079000000}"/>
    <hyperlink ref="K63" location="'Stanford Research Track'!A13" display="Go to detail" xr:uid="{00000000-0004-0000-0000-00007A000000}"/>
    <hyperlink ref="L63" r:id="rId62" xr:uid="{00000000-0004-0000-0000-00007B000000}"/>
    <hyperlink ref="K64" location="'Roadmap'!A40" display="Go to detail" xr:uid="{00000000-0004-0000-0000-00007C000000}"/>
    <hyperlink ref="L64" r:id="rId63" xr:uid="{00000000-0004-0000-0000-00007D000000}"/>
    <hyperlink ref="K65" location="'Roadmap'!A41" display="Go to detail" xr:uid="{00000000-0004-0000-0000-00007E000000}"/>
    <hyperlink ref="L65" r:id="rId64" xr:uid="{00000000-0004-0000-0000-00007F000000}"/>
    <hyperlink ref="K66" location="'Roadmap'!A42" display="Go to detail" xr:uid="{00000000-0004-0000-0000-000080000000}"/>
    <hyperlink ref="L66" r:id="rId65" xr:uid="{00000000-0004-0000-0000-000081000000}"/>
    <hyperlink ref="K67" location="'Roadmap'!A43" display="Go to detail" xr:uid="{00000000-0004-0000-0000-000082000000}"/>
    <hyperlink ref="L67" r:id="rId66" xr:uid="{00000000-0004-0000-0000-000083000000}"/>
    <hyperlink ref="K68" location="'Stanford Research Track'!A3" display="Go to detail" xr:uid="{00000000-0004-0000-0000-000084000000}"/>
    <hyperlink ref="L68" r:id="rId67" xr:uid="{00000000-0004-0000-0000-000085000000}"/>
    <hyperlink ref="K69" location="'Stanford Research Track'!A6" display="Go to detail" xr:uid="{00000000-0004-0000-0000-000086000000}"/>
    <hyperlink ref="L69" r:id="rId68" xr:uid="{00000000-0004-0000-0000-000087000000}"/>
    <hyperlink ref="K70" location="'Roadmap'!A44" display="Go to detail" xr:uid="{00000000-0004-0000-0000-000088000000}"/>
    <hyperlink ref="L70" r:id="rId69" xr:uid="{00000000-0004-0000-0000-000089000000}"/>
    <hyperlink ref="K71" location="'Roadmap'!A45" display="Go to detail" xr:uid="{00000000-0004-0000-0000-00008A000000}"/>
    <hyperlink ref="L71" r:id="rId70" xr:uid="{00000000-0004-0000-0000-00008B000000}"/>
    <hyperlink ref="K72" location="'CS + Interview Track'!A7" display="Go to detail" xr:uid="{00000000-0004-0000-0000-00008C000000}"/>
    <hyperlink ref="L72" r:id="rId71" xr:uid="{00000000-0004-0000-0000-00008D000000}"/>
    <hyperlink ref="K73" location="'Stanford Research Track'!A7" display="Go to detail" xr:uid="{00000000-0004-0000-0000-00008E000000}"/>
    <hyperlink ref="L73" r:id="rId72" xr:uid="{00000000-0004-0000-0000-00008F000000}"/>
    <hyperlink ref="K74" location="'Stanford Research Track'!A9" display="Go to detail" xr:uid="{00000000-0004-0000-0000-000090000000}"/>
    <hyperlink ref="L74" r:id="rId73" xr:uid="{00000000-0004-0000-0000-000091000000}"/>
    <hyperlink ref="K75" location="'Stanford Research Track'!A10" display="Go to detail" xr:uid="{00000000-0004-0000-0000-000092000000}"/>
    <hyperlink ref="L75" r:id="rId74" xr:uid="{00000000-0004-0000-0000-000093000000}"/>
    <hyperlink ref="K76" location="'Roadmap'!A46" display="Go to detail" xr:uid="{00000000-0004-0000-0000-000094000000}"/>
    <hyperlink ref="L76" r:id="rId75" xr:uid="{00000000-0004-0000-0000-000095000000}"/>
    <hyperlink ref="K77" location="'Roadmap'!A47" display="Go to detail" xr:uid="{00000000-0004-0000-0000-000096000000}"/>
    <hyperlink ref="L77" r:id="rId76" xr:uid="{00000000-0004-0000-0000-000097000000}"/>
    <hyperlink ref="K78" location="'Roadmap'!A48" display="Go to detail" xr:uid="{00000000-0004-0000-0000-000098000000}"/>
    <hyperlink ref="L78" r:id="rId77" xr:uid="{00000000-0004-0000-0000-000099000000}"/>
    <hyperlink ref="K79" location="'Roadmap'!A49" display="Go to detail" xr:uid="{00000000-0004-0000-0000-00009A000000}"/>
    <hyperlink ref="L79" r:id="rId78" xr:uid="{00000000-0004-0000-0000-00009B000000}"/>
    <hyperlink ref="K80" location="'Stanford Research Track'!A11" display="Go to detail" xr:uid="{00000000-0004-0000-0000-00009C000000}"/>
    <hyperlink ref="L80" r:id="rId79" xr:uid="{00000000-0004-0000-0000-00009D000000}"/>
    <hyperlink ref="K81" location="'Stanford Research Track'!A12" display="Go to detail" xr:uid="{00000000-0004-0000-0000-00009E000000}"/>
    <hyperlink ref="L81" r:id="rId80" xr:uid="{00000000-0004-0000-0000-00009F000000}"/>
    <hyperlink ref="K82" location="'Roadmap'!A50" display="Go to detail" xr:uid="{00000000-0004-0000-0000-0000A0000000}"/>
    <hyperlink ref="K83" location="'Stanford Research Track'!A8" display="Go to detail" xr:uid="{00000000-0004-0000-0000-0000A1000000}"/>
    <hyperlink ref="L83" r:id="rId81" xr:uid="{00000000-0004-0000-0000-0000A2000000}"/>
    <hyperlink ref="K84" location="'Roadmap'!A51" display="Go to detail" xr:uid="{00000000-0004-0000-0000-0000A3000000}"/>
    <hyperlink ref="K85" location="'Roadmap'!A52" display="Go to detail" xr:uid="{00000000-0004-0000-0000-0000A4000000}"/>
    <hyperlink ref="K86" location="'Roadmap'!A53" display="Go to detail" xr:uid="{00000000-0004-0000-0000-0000A5000000}"/>
    <hyperlink ref="K87" location="'Roadmap'!A54" display="Go to detail" xr:uid="{00000000-0004-0000-0000-0000A6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8"/>
  <sheetViews>
    <sheetView zoomScale="143" workbookViewId="0">
      <selection sqref="A1:H2"/>
    </sheetView>
  </sheetViews>
  <sheetFormatPr baseColWidth="10" defaultColWidth="8.83203125" defaultRowHeight="15"/>
  <cols>
    <col min="1" max="1" width="25" customWidth="1"/>
    <col min="2" max="2" width="16" customWidth="1"/>
    <col min="3" max="3" width="3" customWidth="1"/>
    <col min="4" max="4" width="22" customWidth="1"/>
    <col min="5" max="5" width="42" customWidth="1"/>
    <col min="6" max="6" width="14" customWidth="1"/>
    <col min="7" max="8" width="22" customWidth="1"/>
  </cols>
  <sheetData>
    <row r="1" spans="1:8" ht="37.25" customHeight="1">
      <c r="A1" s="27" t="s">
        <v>476</v>
      </c>
      <c r="B1" s="27"/>
      <c r="C1" s="27"/>
      <c r="D1" s="27"/>
      <c r="E1" s="27"/>
      <c r="F1" s="27"/>
      <c r="G1" s="27"/>
      <c r="H1" s="27"/>
    </row>
    <row r="2" spans="1:8" ht="37.25" customHeight="1">
      <c r="A2" s="27"/>
      <c r="B2" s="27"/>
      <c r="C2" s="27"/>
      <c r="D2" s="27"/>
      <c r="E2" s="27"/>
      <c r="F2" s="27"/>
      <c r="G2" s="27"/>
      <c r="H2" s="27"/>
    </row>
    <row r="3" spans="1:8">
      <c r="A3" s="28" t="s">
        <v>477</v>
      </c>
      <c r="B3" s="28" t="s">
        <v>477</v>
      </c>
      <c r="C3" s="28" t="s">
        <v>477</v>
      </c>
      <c r="D3" s="28" t="s">
        <v>477</v>
      </c>
      <c r="E3" s="28" t="s">
        <v>477</v>
      </c>
      <c r="F3" s="28" t="s">
        <v>477</v>
      </c>
      <c r="G3" s="28" t="s">
        <v>477</v>
      </c>
      <c r="H3" s="28" t="s">
        <v>477</v>
      </c>
    </row>
    <row r="4" spans="1:8">
      <c r="A4" s="1"/>
      <c r="B4" s="1"/>
      <c r="C4" s="1"/>
      <c r="D4" s="1"/>
      <c r="E4" s="1"/>
      <c r="F4" s="1"/>
      <c r="G4" s="1"/>
      <c r="H4" s="1"/>
    </row>
    <row r="5" spans="1:8" ht="16">
      <c r="A5" s="2" t="s">
        <v>478</v>
      </c>
      <c r="B5" s="2" t="s">
        <v>479</v>
      </c>
      <c r="C5" s="1"/>
      <c r="D5" s="2" t="s">
        <v>480</v>
      </c>
      <c r="E5" s="2" t="s">
        <v>479</v>
      </c>
      <c r="F5" s="1"/>
      <c r="G5" s="20" t="s">
        <v>481</v>
      </c>
      <c r="H5" s="20" t="s">
        <v>479</v>
      </c>
    </row>
    <row r="6" spans="1:8" ht="32">
      <c r="A6" s="1" t="s">
        <v>482</v>
      </c>
      <c r="B6" s="1">
        <f>COUNTA(Roadmap!E2:E100)</f>
        <v>53</v>
      </c>
      <c r="C6" s="1"/>
      <c r="D6" s="1" t="s">
        <v>483</v>
      </c>
      <c r="E6" s="1">
        <f>COUNTA('Hands-On Labs'!B2:B50)</f>
        <v>18</v>
      </c>
      <c r="F6" s="1"/>
      <c r="G6" s="1" t="s">
        <v>484</v>
      </c>
      <c r="H6" s="17">
        <f>AVERAGE('Competency Matrix'!E2:E26)</f>
        <v>0</v>
      </c>
    </row>
    <row r="7" spans="1:8" ht="16">
      <c r="A7" s="1" t="s">
        <v>485</v>
      </c>
      <c r="B7" s="1">
        <f>COUNTIF(Roadmap!M2:M100,"Done")</f>
        <v>1</v>
      </c>
      <c r="C7" s="1"/>
      <c r="D7" s="1" t="s">
        <v>486</v>
      </c>
      <c r="E7" s="1">
        <f>COUNTIF('Hands-On Labs'!I2:I50,"Done")</f>
        <v>0</v>
      </c>
      <c r="F7" s="1"/>
      <c r="G7" s="1" t="s">
        <v>487</v>
      </c>
      <c r="H7" s="1">
        <f>COUNTIF('Competency Matrix'!O2:O26,0)</f>
        <v>0</v>
      </c>
    </row>
    <row r="8" spans="1:8" ht="16">
      <c r="A8" s="1" t="s">
        <v>488</v>
      </c>
      <c r="B8" s="1">
        <f>COUNTIF(Roadmap!H2:H100,"VERY HIGH")</f>
        <v>39</v>
      </c>
      <c r="C8" s="1"/>
      <c r="D8" s="1" t="s">
        <v>489</v>
      </c>
      <c r="E8" s="1">
        <f>COUNTIF('Hands-On Labs'!C2:C50,"Capstone")</f>
        <v>1</v>
      </c>
      <c r="F8" s="1"/>
      <c r="G8" s="1" t="s">
        <v>490</v>
      </c>
      <c r="H8" s="16">
        <v>46435</v>
      </c>
    </row>
    <row r="9" spans="1:8" ht="16">
      <c r="A9" s="1" t="s">
        <v>491</v>
      </c>
      <c r="B9" s="1">
        <f>SUM(Roadmap!I2:I100)</f>
        <v>205.65</v>
      </c>
      <c r="C9" s="1"/>
      <c r="D9" s="1" t="s">
        <v>492</v>
      </c>
      <c r="E9" s="1">
        <f>SUM('Hands-On Labs'!H2:H50)</f>
        <v>147</v>
      </c>
      <c r="F9" s="1"/>
      <c r="G9" s="1"/>
      <c r="H9" s="1"/>
    </row>
    <row r="10" spans="1:8" ht="64">
      <c r="A10" s="1"/>
      <c r="B10" s="1"/>
      <c r="C10" s="1"/>
      <c r="D10" s="1" t="s">
        <v>493</v>
      </c>
      <c r="E10" s="1" t="s">
        <v>494</v>
      </c>
      <c r="F10" s="1"/>
      <c r="G10" s="22" t="str">
        <f>HYPERLINK("#'Revision'!A1","Revision / Refresh Guide")</f>
        <v>Revision / Refresh Guide</v>
      </c>
      <c r="H10" s="1"/>
    </row>
    <row r="11" spans="1:8">
      <c r="A11" s="1"/>
      <c r="B11" s="1"/>
      <c r="C11" s="1"/>
      <c r="D11" s="1"/>
      <c r="E11" s="1"/>
      <c r="F11" s="1"/>
      <c r="G11" s="1"/>
      <c r="H11" s="1"/>
    </row>
    <row r="12" spans="1:8" ht="16">
      <c r="A12" s="2" t="s">
        <v>4</v>
      </c>
      <c r="B12" s="2" t="s">
        <v>495</v>
      </c>
      <c r="C12" s="1"/>
      <c r="D12" s="2" t="s">
        <v>12</v>
      </c>
      <c r="E12" s="2" t="s">
        <v>496</v>
      </c>
      <c r="F12" s="1"/>
      <c r="G12" s="1"/>
      <c r="H12" s="1"/>
    </row>
    <row r="13" spans="1:8" ht="16">
      <c r="A13" s="1" t="s">
        <v>19</v>
      </c>
      <c r="B13" s="1">
        <f>COUNTIF(Roadmap!F2:F100,A13)</f>
        <v>5</v>
      </c>
      <c r="C13" s="1"/>
      <c r="D13" s="1" t="s">
        <v>26</v>
      </c>
      <c r="E13" s="1">
        <f>COUNTIF(Roadmap!M2:M100,D13)</f>
        <v>52</v>
      </c>
      <c r="F13" s="1"/>
      <c r="G13" s="1"/>
      <c r="H13" s="1"/>
    </row>
    <row r="14" spans="1:8" ht="16">
      <c r="A14" s="1" t="s">
        <v>35</v>
      </c>
      <c r="B14" s="1">
        <f>COUNTIF(Roadmap!F2:F100,A14)</f>
        <v>7</v>
      </c>
      <c r="C14" s="1"/>
      <c r="D14" s="1" t="s">
        <v>497</v>
      </c>
      <c r="E14" s="1">
        <f>COUNTIF(Roadmap!M2:M100,D14)</f>
        <v>0</v>
      </c>
      <c r="F14" s="1"/>
      <c r="G14" s="1"/>
      <c r="H14" s="1"/>
    </row>
    <row r="15" spans="1:8" ht="16">
      <c r="A15" s="1" t="s">
        <v>74</v>
      </c>
      <c r="B15" s="1">
        <f>COUNTIF(Roadmap!F2:F100,A15)</f>
        <v>9</v>
      </c>
      <c r="C15" s="1"/>
      <c r="D15" s="1" t="s">
        <v>498</v>
      </c>
      <c r="E15" s="1">
        <f>COUNTIF(Roadmap!M2:M100,D15)</f>
        <v>1</v>
      </c>
      <c r="F15" s="1"/>
      <c r="G15" s="1"/>
      <c r="H15" s="1"/>
    </row>
    <row r="16" spans="1:8" ht="16">
      <c r="A16" s="1" t="s">
        <v>90</v>
      </c>
      <c r="B16" s="1">
        <f>COUNTIF(Roadmap!F2:F100,A16)</f>
        <v>9</v>
      </c>
      <c r="C16" s="1"/>
      <c r="D16" s="1" t="s">
        <v>499</v>
      </c>
      <c r="E16" s="1">
        <f>COUNTIF(Roadmap!M2:M100,D16)</f>
        <v>0</v>
      </c>
      <c r="F16" s="1"/>
      <c r="G16" s="1"/>
      <c r="H16" s="1"/>
    </row>
    <row r="17" spans="1:8" ht="16">
      <c r="A17" s="1" t="s">
        <v>115</v>
      </c>
      <c r="B17" s="1">
        <f>COUNTIF(Roadmap!F2:F100,A17)</f>
        <v>7</v>
      </c>
      <c r="C17" s="1"/>
      <c r="D17" s="1"/>
      <c r="E17" s="1"/>
      <c r="F17" s="1"/>
      <c r="G17" s="1"/>
      <c r="H17" s="1"/>
    </row>
    <row r="18" spans="1:8" ht="16">
      <c r="A18" s="1" t="s">
        <v>372</v>
      </c>
      <c r="B18" s="1">
        <f>COUNTIF(Roadmap!F2:F100,A18)</f>
        <v>2</v>
      </c>
      <c r="C18" s="1"/>
      <c r="D18" s="1"/>
      <c r="E18" s="1"/>
      <c r="F18" s="1"/>
      <c r="G18" s="1"/>
      <c r="H18" s="1"/>
    </row>
    <row r="19" spans="1:8" ht="16">
      <c r="A19" s="1" t="s">
        <v>96</v>
      </c>
      <c r="B19" s="1">
        <f>COUNTIF(Roadmap!F2:F100,A19)</f>
        <v>2</v>
      </c>
      <c r="C19" s="1"/>
      <c r="D19" s="2" t="s">
        <v>500</v>
      </c>
      <c r="E19" s="29" t="s">
        <v>501</v>
      </c>
      <c r="F19" s="29"/>
      <c r="G19" s="29"/>
      <c r="H19" s="29"/>
    </row>
    <row r="20" spans="1:8" ht="32">
      <c r="A20" s="1" t="s">
        <v>41</v>
      </c>
      <c r="B20" s="1">
        <f>COUNTIF(Roadmap!F2:F100,A20)</f>
        <v>3</v>
      </c>
      <c r="C20" s="1"/>
      <c r="D20" s="1" t="s">
        <v>502</v>
      </c>
      <c r="E20" s="26" t="s">
        <v>503</v>
      </c>
      <c r="F20" s="26"/>
      <c r="G20" s="26"/>
      <c r="H20" s="26"/>
    </row>
    <row r="21" spans="1:8" ht="16">
      <c r="A21" s="1" t="s">
        <v>258</v>
      </c>
      <c r="B21" s="1">
        <f>COUNTIF(Roadmap!F2:F100,A21)</f>
        <v>2</v>
      </c>
      <c r="C21" s="1"/>
      <c r="D21" s="1" t="s">
        <v>504</v>
      </c>
      <c r="E21" s="26" t="s">
        <v>505</v>
      </c>
      <c r="F21" s="26"/>
      <c r="G21" s="26"/>
      <c r="H21" s="26"/>
    </row>
    <row r="22" spans="1:8" ht="16">
      <c r="A22" s="1" t="s">
        <v>329</v>
      </c>
      <c r="B22" s="1">
        <f>COUNTIF(Roadmap!F2:F100,A22)</f>
        <v>1</v>
      </c>
      <c r="C22" s="1"/>
      <c r="D22" s="1" t="s">
        <v>506</v>
      </c>
      <c r="E22" s="26" t="s">
        <v>507</v>
      </c>
      <c r="F22" s="26"/>
      <c r="G22" s="26"/>
      <c r="H22" s="26"/>
    </row>
    <row r="23" spans="1:8" ht="16">
      <c r="A23" s="1" t="s">
        <v>181</v>
      </c>
      <c r="B23" s="1">
        <f>COUNTIF(Roadmap!F2:F100,A23)</f>
        <v>5</v>
      </c>
      <c r="C23" s="1"/>
      <c r="D23" s="1" t="s">
        <v>508</v>
      </c>
      <c r="E23" s="26" t="s">
        <v>509</v>
      </c>
      <c r="F23" s="26"/>
      <c r="G23" s="26"/>
      <c r="H23" s="26"/>
    </row>
    <row r="24" spans="1:8" ht="16">
      <c r="A24" s="1"/>
      <c r="B24" s="1"/>
      <c r="C24" s="1"/>
      <c r="D24" s="1" t="s">
        <v>510</v>
      </c>
      <c r="E24" s="26" t="s">
        <v>511</v>
      </c>
      <c r="F24" s="26"/>
      <c r="G24" s="26"/>
      <c r="H24" s="26"/>
    </row>
    <row r="25" spans="1:8">
      <c r="A25" t="s">
        <v>341</v>
      </c>
      <c r="B25">
        <f>COUNTIF(Roadmap!F2:F100,A25)</f>
        <v>1</v>
      </c>
      <c r="D25" t="s">
        <v>512</v>
      </c>
      <c r="E25" t="s">
        <v>513</v>
      </c>
    </row>
    <row r="26" spans="1:8">
      <c r="D26" t="s">
        <v>514</v>
      </c>
      <c r="E26" t="s">
        <v>515</v>
      </c>
    </row>
    <row r="27" spans="1:8">
      <c r="D27" t="s">
        <v>516</v>
      </c>
      <c r="E27" t="s">
        <v>517</v>
      </c>
    </row>
    <row r="28" spans="1:8">
      <c r="D28" t="s">
        <v>518</v>
      </c>
      <c r="E28" t="s">
        <v>519</v>
      </c>
    </row>
  </sheetData>
  <mergeCells count="8">
    <mergeCell ref="E22:H22"/>
    <mergeCell ref="E23:H23"/>
    <mergeCell ref="E24:H24"/>
    <mergeCell ref="A1:H2"/>
    <mergeCell ref="A3:H3"/>
    <mergeCell ref="E19:H19"/>
    <mergeCell ref="E20:H20"/>
    <mergeCell ref="E21:H21"/>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60"/>
  <sheetViews>
    <sheetView topLeftCell="J1" workbookViewId="0">
      <selection activeCell="N1" sqref="N1"/>
    </sheetView>
  </sheetViews>
  <sheetFormatPr baseColWidth="10" defaultColWidth="8.83203125" defaultRowHeight="15"/>
  <cols>
    <col min="1" max="3" width="7" customWidth="1"/>
    <col min="4" max="4" width="20" customWidth="1"/>
    <col min="5" max="5" width="40" customWidth="1"/>
    <col min="6" max="6" width="24" customWidth="1"/>
    <col min="7" max="7" width="18" customWidth="1"/>
    <col min="8" max="8" width="9" customWidth="1"/>
    <col min="9" max="9" width="11" customWidth="1"/>
    <col min="10" max="10" width="38" customWidth="1"/>
    <col min="11" max="11" width="46" customWidth="1"/>
    <col min="12" max="12" width="36" customWidth="1"/>
    <col min="13" max="13" width="14" customWidth="1"/>
    <col min="14" max="14" width="36" customWidth="1"/>
  </cols>
  <sheetData>
    <row r="1" spans="1:14" ht="42.75" customHeight="1">
      <c r="A1" s="3" t="s">
        <v>520</v>
      </c>
      <c r="B1" s="3" t="s">
        <v>521</v>
      </c>
      <c r="C1" s="3" t="s">
        <v>522</v>
      </c>
      <c r="D1" s="3" t="s">
        <v>523</v>
      </c>
      <c r="E1" s="3" t="s">
        <v>524</v>
      </c>
      <c r="F1" s="3" t="s">
        <v>4</v>
      </c>
      <c r="G1" s="3" t="s">
        <v>525</v>
      </c>
      <c r="H1" s="3" t="s">
        <v>5</v>
      </c>
      <c r="I1" s="3" t="s">
        <v>526</v>
      </c>
      <c r="J1" s="3" t="s">
        <v>527</v>
      </c>
      <c r="K1" s="3" t="s">
        <v>528</v>
      </c>
      <c r="L1" s="3" t="s">
        <v>529</v>
      </c>
      <c r="M1" s="3" t="s">
        <v>12</v>
      </c>
      <c r="N1" s="11" t="s">
        <v>530</v>
      </c>
    </row>
    <row r="2" spans="1:14" ht="32">
      <c r="A2" s="25">
        <v>1</v>
      </c>
      <c r="B2" s="5">
        <v>1</v>
      </c>
      <c r="C2" s="5">
        <v>1</v>
      </c>
      <c r="D2" s="4" t="s">
        <v>531</v>
      </c>
      <c r="E2" s="4" t="s">
        <v>18</v>
      </c>
      <c r="F2" s="4" t="s">
        <v>19</v>
      </c>
      <c r="G2" s="4" t="s">
        <v>532</v>
      </c>
      <c r="H2" s="5" t="s">
        <v>20</v>
      </c>
      <c r="I2" s="6">
        <v>0.5</v>
      </c>
      <c r="J2" s="4" t="s">
        <v>21</v>
      </c>
      <c r="K2" s="4" t="s">
        <v>22</v>
      </c>
      <c r="L2" s="4" t="s">
        <v>27</v>
      </c>
      <c r="M2" s="5" t="s">
        <v>498</v>
      </c>
      <c r="N2" s="7" t="s">
        <v>533</v>
      </c>
    </row>
    <row r="3" spans="1:14" ht="32">
      <c r="A3" s="5">
        <v>1</v>
      </c>
      <c r="B3" s="5">
        <v>2</v>
      </c>
      <c r="C3" s="5">
        <v>1</v>
      </c>
      <c r="D3" s="4" t="s">
        <v>534</v>
      </c>
      <c r="E3" s="4" t="s">
        <v>29</v>
      </c>
      <c r="F3" s="4" t="s">
        <v>19</v>
      </c>
      <c r="G3" s="4" t="s">
        <v>535</v>
      </c>
      <c r="H3" s="5" t="s">
        <v>20</v>
      </c>
      <c r="I3" s="6">
        <v>1</v>
      </c>
      <c r="J3" s="4" t="s">
        <v>30</v>
      </c>
      <c r="K3" s="4" t="s">
        <v>31</v>
      </c>
      <c r="L3" s="4" t="s">
        <v>32</v>
      </c>
      <c r="M3" s="5" t="s">
        <v>26</v>
      </c>
      <c r="N3" s="7" t="s">
        <v>536</v>
      </c>
    </row>
    <row r="4" spans="1:14" ht="48">
      <c r="A4" s="5">
        <v>1</v>
      </c>
      <c r="B4" s="5">
        <v>3</v>
      </c>
      <c r="C4" s="5">
        <v>1</v>
      </c>
      <c r="D4" s="4" t="s">
        <v>537</v>
      </c>
      <c r="E4" s="4" t="s">
        <v>34</v>
      </c>
      <c r="F4" s="4" t="s">
        <v>35</v>
      </c>
      <c r="G4" s="4" t="s">
        <v>538</v>
      </c>
      <c r="H4" s="5" t="s">
        <v>20</v>
      </c>
      <c r="I4" s="6">
        <v>1</v>
      </c>
      <c r="J4" s="4" t="s">
        <v>36</v>
      </c>
      <c r="K4" s="4" t="s">
        <v>37</v>
      </c>
      <c r="L4" s="4" t="s">
        <v>38</v>
      </c>
      <c r="M4" s="5" t="s">
        <v>26</v>
      </c>
      <c r="N4" s="7" t="s">
        <v>539</v>
      </c>
    </row>
    <row r="5" spans="1:14" ht="48">
      <c r="A5" s="5">
        <v>1</v>
      </c>
      <c r="B5" s="5">
        <v>4</v>
      </c>
      <c r="C5" s="5">
        <v>1</v>
      </c>
      <c r="D5" s="4" t="s">
        <v>540</v>
      </c>
      <c r="E5" s="4" t="s">
        <v>40</v>
      </c>
      <c r="F5" s="4" t="s">
        <v>41</v>
      </c>
      <c r="G5" s="4" t="s">
        <v>541</v>
      </c>
      <c r="H5" s="5" t="s">
        <v>42</v>
      </c>
      <c r="I5" s="6">
        <v>0.3</v>
      </c>
      <c r="J5" s="4" t="s">
        <v>43</v>
      </c>
      <c r="K5" s="4" t="s">
        <v>44</v>
      </c>
      <c r="L5" s="4" t="s">
        <v>45</v>
      </c>
      <c r="M5" s="5" t="s">
        <v>26</v>
      </c>
      <c r="N5" s="7" t="s">
        <v>542</v>
      </c>
    </row>
    <row r="6" spans="1:14" ht="32">
      <c r="A6" s="5">
        <v>1</v>
      </c>
      <c r="B6" s="5">
        <v>5</v>
      </c>
      <c r="C6" s="5">
        <v>2</v>
      </c>
      <c r="D6" s="4" t="s">
        <v>543</v>
      </c>
      <c r="E6" s="4" t="s">
        <v>73</v>
      </c>
      <c r="F6" s="4" t="s">
        <v>74</v>
      </c>
      <c r="G6" s="4" t="s">
        <v>544</v>
      </c>
      <c r="H6" s="5" t="s">
        <v>20</v>
      </c>
      <c r="I6" s="6">
        <v>4</v>
      </c>
      <c r="J6" s="4" t="s">
        <v>75</v>
      </c>
      <c r="K6" s="4" t="s">
        <v>76</v>
      </c>
      <c r="L6" s="4" t="s">
        <v>77</v>
      </c>
      <c r="M6" s="5" t="s">
        <v>26</v>
      </c>
      <c r="N6" s="7" t="s">
        <v>545</v>
      </c>
    </row>
    <row r="7" spans="1:14" ht="48">
      <c r="A7" s="5">
        <v>2</v>
      </c>
      <c r="B7" s="5">
        <v>6</v>
      </c>
      <c r="C7" s="5">
        <v>2</v>
      </c>
      <c r="D7" s="4" t="s">
        <v>546</v>
      </c>
      <c r="E7" s="4" t="s">
        <v>79</v>
      </c>
      <c r="F7" s="4" t="s">
        <v>35</v>
      </c>
      <c r="G7" s="4" t="s">
        <v>538</v>
      </c>
      <c r="H7" s="5" t="s">
        <v>20</v>
      </c>
      <c r="I7" s="6">
        <v>1.5</v>
      </c>
      <c r="J7" s="4" t="s">
        <v>80</v>
      </c>
      <c r="K7" s="4" t="s">
        <v>81</v>
      </c>
      <c r="L7" s="4" t="s">
        <v>82</v>
      </c>
      <c r="M7" s="5" t="s">
        <v>26</v>
      </c>
      <c r="N7" s="7" t="s">
        <v>547</v>
      </c>
    </row>
    <row r="8" spans="1:14" ht="48">
      <c r="A8" s="5">
        <v>2</v>
      </c>
      <c r="B8" s="5">
        <v>7</v>
      </c>
      <c r="C8" s="5">
        <v>3</v>
      </c>
      <c r="D8" s="4" t="s">
        <v>548</v>
      </c>
      <c r="E8" s="4" t="s">
        <v>84</v>
      </c>
      <c r="F8" s="4" t="s">
        <v>74</v>
      </c>
      <c r="G8" s="4" t="s">
        <v>544</v>
      </c>
      <c r="H8" s="5" t="s">
        <v>20</v>
      </c>
      <c r="I8" s="6">
        <v>5</v>
      </c>
      <c r="J8" s="4" t="s">
        <v>85</v>
      </c>
      <c r="K8" s="4" t="s">
        <v>86</v>
      </c>
      <c r="L8" s="4" t="s">
        <v>87</v>
      </c>
      <c r="M8" s="5" t="s">
        <v>26</v>
      </c>
      <c r="N8" s="7" t="s">
        <v>549</v>
      </c>
    </row>
    <row r="9" spans="1:14" ht="48">
      <c r="A9" s="5">
        <v>2</v>
      </c>
      <c r="B9" s="5">
        <v>8</v>
      </c>
      <c r="C9" s="5">
        <v>3</v>
      </c>
      <c r="D9" s="4" t="s">
        <v>550</v>
      </c>
      <c r="E9" s="4" t="s">
        <v>89</v>
      </c>
      <c r="F9" s="4" t="s">
        <v>90</v>
      </c>
      <c r="G9" s="4" t="s">
        <v>551</v>
      </c>
      <c r="H9" s="5" t="s">
        <v>20</v>
      </c>
      <c r="I9" s="6">
        <v>1</v>
      </c>
      <c r="J9" s="4" t="s">
        <v>91</v>
      </c>
      <c r="K9" s="4" t="s">
        <v>92</v>
      </c>
      <c r="L9" s="4" t="s">
        <v>93</v>
      </c>
      <c r="M9" s="5" t="s">
        <v>26</v>
      </c>
      <c r="N9" s="7" t="s">
        <v>552</v>
      </c>
    </row>
    <row r="10" spans="1:14" ht="32">
      <c r="A10" s="5">
        <v>2</v>
      </c>
      <c r="B10" s="5">
        <v>9</v>
      </c>
      <c r="C10" s="5">
        <v>3</v>
      </c>
      <c r="D10" s="4" t="s">
        <v>553</v>
      </c>
      <c r="E10" s="4" t="s">
        <v>95</v>
      </c>
      <c r="F10" s="4" t="s">
        <v>96</v>
      </c>
      <c r="G10" s="4" t="s">
        <v>541</v>
      </c>
      <c r="H10" s="5" t="s">
        <v>20</v>
      </c>
      <c r="I10" s="6">
        <v>0.4</v>
      </c>
      <c r="J10" s="4" t="s">
        <v>97</v>
      </c>
      <c r="K10" s="4" t="s">
        <v>98</v>
      </c>
      <c r="L10" s="4" t="s">
        <v>99</v>
      </c>
      <c r="M10" s="5" t="s">
        <v>26</v>
      </c>
      <c r="N10" s="7" t="s">
        <v>554</v>
      </c>
    </row>
    <row r="11" spans="1:14" ht="48">
      <c r="A11" s="5">
        <v>3</v>
      </c>
      <c r="B11" s="5">
        <v>10</v>
      </c>
      <c r="C11" s="5">
        <v>4</v>
      </c>
      <c r="D11" s="4" t="s">
        <v>555</v>
      </c>
      <c r="E11" s="4" t="s">
        <v>114</v>
      </c>
      <c r="F11" s="4" t="s">
        <v>115</v>
      </c>
      <c r="G11" s="4" t="s">
        <v>532</v>
      </c>
      <c r="H11" s="5" t="s">
        <v>42</v>
      </c>
      <c r="I11" s="6">
        <v>0.9</v>
      </c>
      <c r="J11" s="4" t="s">
        <v>116</v>
      </c>
      <c r="K11" s="4" t="s">
        <v>117</v>
      </c>
      <c r="L11" s="4" t="s">
        <v>118</v>
      </c>
      <c r="M11" s="5" t="s">
        <v>26</v>
      </c>
      <c r="N11" s="7" t="s">
        <v>556</v>
      </c>
    </row>
    <row r="12" spans="1:14" ht="32">
      <c r="A12" s="5">
        <v>3</v>
      </c>
      <c r="B12" s="5">
        <v>11</v>
      </c>
      <c r="C12" s="5">
        <v>4</v>
      </c>
      <c r="D12" s="4" t="s">
        <v>557</v>
      </c>
      <c r="E12" s="4" t="s">
        <v>120</v>
      </c>
      <c r="F12" s="4" t="s">
        <v>74</v>
      </c>
      <c r="G12" s="4" t="s">
        <v>544</v>
      </c>
      <c r="H12" s="5" t="s">
        <v>20</v>
      </c>
      <c r="I12" s="6">
        <v>1.5</v>
      </c>
      <c r="J12" s="4" t="s">
        <v>121</v>
      </c>
      <c r="K12" s="4" t="s">
        <v>122</v>
      </c>
      <c r="L12" s="4" t="s">
        <v>123</v>
      </c>
      <c r="M12" s="5" t="s">
        <v>26</v>
      </c>
      <c r="N12" s="7" t="s">
        <v>545</v>
      </c>
    </row>
    <row r="13" spans="1:14" ht="32">
      <c r="A13" s="5">
        <v>3</v>
      </c>
      <c r="B13" s="5">
        <v>12</v>
      </c>
      <c r="C13" s="5">
        <v>4</v>
      </c>
      <c r="D13" s="4" t="s">
        <v>558</v>
      </c>
      <c r="E13" s="4" t="s">
        <v>125</v>
      </c>
      <c r="F13" s="4" t="s">
        <v>35</v>
      </c>
      <c r="G13" s="4" t="s">
        <v>538</v>
      </c>
      <c r="H13" s="5" t="s">
        <v>20</v>
      </c>
      <c r="I13" s="6">
        <v>2</v>
      </c>
      <c r="J13" s="4" t="s">
        <v>126</v>
      </c>
      <c r="K13" s="4" t="s">
        <v>127</v>
      </c>
      <c r="L13" s="4" t="s">
        <v>128</v>
      </c>
      <c r="M13" s="5" t="s">
        <v>26</v>
      </c>
      <c r="N13" s="7" t="s">
        <v>559</v>
      </c>
    </row>
    <row r="14" spans="1:14" ht="48">
      <c r="A14" s="5">
        <v>3</v>
      </c>
      <c r="B14" s="5">
        <v>13</v>
      </c>
      <c r="C14" s="5">
        <v>5</v>
      </c>
      <c r="D14" s="4" t="s">
        <v>560</v>
      </c>
      <c r="E14" s="4" t="s">
        <v>135</v>
      </c>
      <c r="F14" s="4" t="s">
        <v>90</v>
      </c>
      <c r="G14" s="4" t="s">
        <v>551</v>
      </c>
      <c r="H14" s="5" t="s">
        <v>20</v>
      </c>
      <c r="I14" s="6">
        <v>0.8</v>
      </c>
      <c r="J14" s="4" t="s">
        <v>136</v>
      </c>
      <c r="K14" s="4" t="s">
        <v>137</v>
      </c>
      <c r="L14" s="4" t="s">
        <v>138</v>
      </c>
      <c r="M14" s="5" t="s">
        <v>26</v>
      </c>
      <c r="N14" s="7" t="s">
        <v>561</v>
      </c>
    </row>
    <row r="15" spans="1:14" ht="48">
      <c r="A15" s="5">
        <v>3</v>
      </c>
      <c r="B15" s="5">
        <v>14</v>
      </c>
      <c r="C15" s="5">
        <v>5</v>
      </c>
      <c r="D15" s="4" t="s">
        <v>562</v>
      </c>
      <c r="E15" s="4" t="s">
        <v>140</v>
      </c>
      <c r="F15" s="4" t="s">
        <v>115</v>
      </c>
      <c r="G15" s="4" t="s">
        <v>532</v>
      </c>
      <c r="H15" s="5" t="s">
        <v>42</v>
      </c>
      <c r="I15" s="6">
        <v>1</v>
      </c>
      <c r="J15" s="4" t="s">
        <v>141</v>
      </c>
      <c r="K15" s="4" t="s">
        <v>142</v>
      </c>
      <c r="L15" s="4" t="s">
        <v>143</v>
      </c>
      <c r="M15" s="5" t="s">
        <v>26</v>
      </c>
      <c r="N15" s="7" t="s">
        <v>563</v>
      </c>
    </row>
    <row r="16" spans="1:14" ht="32">
      <c r="A16" s="5">
        <v>4</v>
      </c>
      <c r="B16" s="5">
        <v>15</v>
      </c>
      <c r="C16" s="5">
        <v>5</v>
      </c>
      <c r="D16" s="4" t="s">
        <v>564</v>
      </c>
      <c r="E16" s="4" t="s">
        <v>145</v>
      </c>
      <c r="F16" s="4" t="s">
        <v>74</v>
      </c>
      <c r="G16" s="4" t="s">
        <v>544</v>
      </c>
      <c r="H16" s="5" t="s">
        <v>20</v>
      </c>
      <c r="I16" s="6">
        <v>4.5</v>
      </c>
      <c r="J16" s="4" t="s">
        <v>146</v>
      </c>
      <c r="K16" s="4" t="s">
        <v>147</v>
      </c>
      <c r="L16" s="4" t="s">
        <v>148</v>
      </c>
      <c r="M16" s="5" t="s">
        <v>26</v>
      </c>
      <c r="N16" s="7" t="s">
        <v>549</v>
      </c>
    </row>
    <row r="17" spans="1:14" ht="32">
      <c r="A17" s="5">
        <v>4</v>
      </c>
      <c r="B17" s="5">
        <v>16</v>
      </c>
      <c r="C17" s="5">
        <v>6</v>
      </c>
      <c r="D17" s="4" t="s">
        <v>565</v>
      </c>
      <c r="E17" s="4" t="s">
        <v>165</v>
      </c>
      <c r="F17" s="4" t="s">
        <v>19</v>
      </c>
      <c r="G17" s="4" t="s">
        <v>566</v>
      </c>
      <c r="H17" s="5" t="s">
        <v>20</v>
      </c>
      <c r="I17" s="6">
        <v>3</v>
      </c>
      <c r="J17" s="4" t="s">
        <v>166</v>
      </c>
      <c r="K17" s="4" t="s">
        <v>167</v>
      </c>
      <c r="L17" s="4" t="s">
        <v>168</v>
      </c>
      <c r="M17" s="5" t="s">
        <v>26</v>
      </c>
      <c r="N17" s="7" t="s">
        <v>567</v>
      </c>
    </row>
    <row r="18" spans="1:14" ht="32">
      <c r="A18" s="5">
        <v>4</v>
      </c>
      <c r="B18" s="5">
        <v>17</v>
      </c>
      <c r="C18" s="5">
        <v>6</v>
      </c>
      <c r="D18" s="4" t="s">
        <v>568</v>
      </c>
      <c r="E18" s="4" t="s">
        <v>170</v>
      </c>
      <c r="F18" s="4" t="s">
        <v>35</v>
      </c>
      <c r="G18" s="4" t="s">
        <v>538</v>
      </c>
      <c r="H18" s="5" t="s">
        <v>20</v>
      </c>
      <c r="I18" s="6">
        <v>0.75</v>
      </c>
      <c r="J18" s="4" t="s">
        <v>171</v>
      </c>
      <c r="K18" s="4" t="s">
        <v>172</v>
      </c>
      <c r="L18" s="4" t="s">
        <v>173</v>
      </c>
      <c r="M18" s="5" t="s">
        <v>26</v>
      </c>
      <c r="N18" s="7" t="s">
        <v>569</v>
      </c>
    </row>
    <row r="19" spans="1:14" ht="64">
      <c r="A19" s="5">
        <v>4</v>
      </c>
      <c r="B19" s="5">
        <v>18</v>
      </c>
      <c r="C19" s="5">
        <v>6</v>
      </c>
      <c r="D19" s="4" t="s">
        <v>570</v>
      </c>
      <c r="E19" s="4" t="s">
        <v>175</v>
      </c>
      <c r="F19" s="4" t="s">
        <v>115</v>
      </c>
      <c r="G19" s="4" t="s">
        <v>532</v>
      </c>
      <c r="H19" s="5" t="s">
        <v>42</v>
      </c>
      <c r="I19" s="6">
        <v>1.7</v>
      </c>
      <c r="J19" s="4" t="s">
        <v>176</v>
      </c>
      <c r="K19" s="4" t="s">
        <v>177</v>
      </c>
      <c r="L19" s="4" t="s">
        <v>178</v>
      </c>
      <c r="M19" s="5" t="s">
        <v>26</v>
      </c>
      <c r="N19" s="7" t="s">
        <v>571</v>
      </c>
    </row>
    <row r="20" spans="1:14" ht="48">
      <c r="A20" s="5">
        <v>4</v>
      </c>
      <c r="B20" s="5">
        <v>19</v>
      </c>
      <c r="C20" s="5">
        <v>7</v>
      </c>
      <c r="D20" s="4" t="s">
        <v>572</v>
      </c>
      <c r="E20" s="4" t="s">
        <v>186</v>
      </c>
      <c r="F20" s="4" t="s">
        <v>35</v>
      </c>
      <c r="G20" s="4" t="s">
        <v>538</v>
      </c>
      <c r="H20" s="5" t="s">
        <v>20</v>
      </c>
      <c r="I20" s="6">
        <v>3</v>
      </c>
      <c r="J20" s="4" t="s">
        <v>187</v>
      </c>
      <c r="K20" s="4" t="s">
        <v>188</v>
      </c>
      <c r="L20" s="4" t="s">
        <v>189</v>
      </c>
      <c r="M20" s="5" t="s">
        <v>26</v>
      </c>
      <c r="N20" s="7" t="s">
        <v>573</v>
      </c>
    </row>
    <row r="21" spans="1:14" ht="48">
      <c r="A21" s="5">
        <v>4</v>
      </c>
      <c r="B21" s="5">
        <v>20</v>
      </c>
      <c r="C21" s="5">
        <v>7</v>
      </c>
      <c r="D21" s="4" t="s">
        <v>574</v>
      </c>
      <c r="E21" s="4" t="s">
        <v>191</v>
      </c>
      <c r="F21" s="4" t="s">
        <v>90</v>
      </c>
      <c r="G21" s="4" t="s">
        <v>551</v>
      </c>
      <c r="H21" s="5" t="s">
        <v>20</v>
      </c>
      <c r="I21" s="6">
        <v>1</v>
      </c>
      <c r="J21" s="4" t="s">
        <v>192</v>
      </c>
      <c r="K21" s="4" t="s">
        <v>193</v>
      </c>
      <c r="L21" s="4" t="s">
        <v>194</v>
      </c>
      <c r="M21" s="5" t="s">
        <v>26</v>
      </c>
      <c r="N21" s="7" t="s">
        <v>575</v>
      </c>
    </row>
    <row r="22" spans="1:14" ht="32">
      <c r="A22" s="5">
        <v>5</v>
      </c>
      <c r="B22" s="5">
        <v>21</v>
      </c>
      <c r="C22" s="5">
        <v>8</v>
      </c>
      <c r="D22" s="4" t="s">
        <v>576</v>
      </c>
      <c r="E22" s="4" t="s">
        <v>201</v>
      </c>
      <c r="F22" s="4" t="s">
        <v>74</v>
      </c>
      <c r="G22" s="4" t="s">
        <v>544</v>
      </c>
      <c r="H22" s="5" t="s">
        <v>20</v>
      </c>
      <c r="I22" s="6">
        <v>1.5</v>
      </c>
      <c r="J22" s="4" t="s">
        <v>202</v>
      </c>
      <c r="K22" s="4" t="s">
        <v>203</v>
      </c>
      <c r="L22" s="4" t="s">
        <v>204</v>
      </c>
      <c r="M22" s="5" t="s">
        <v>26</v>
      </c>
      <c r="N22" s="7" t="s">
        <v>545</v>
      </c>
    </row>
    <row r="23" spans="1:14" ht="32">
      <c r="A23" s="5">
        <v>5</v>
      </c>
      <c r="B23" s="5">
        <v>22</v>
      </c>
      <c r="C23" s="5">
        <v>8</v>
      </c>
      <c r="D23" s="4" t="s">
        <v>577</v>
      </c>
      <c r="E23" s="4" t="s">
        <v>206</v>
      </c>
      <c r="F23" s="4" t="s">
        <v>90</v>
      </c>
      <c r="G23" s="4" t="s">
        <v>551</v>
      </c>
      <c r="H23" s="5" t="s">
        <v>20</v>
      </c>
      <c r="I23" s="6">
        <v>1</v>
      </c>
      <c r="J23" s="4" t="s">
        <v>207</v>
      </c>
      <c r="K23" s="4" t="s">
        <v>208</v>
      </c>
      <c r="L23" s="4" t="s">
        <v>209</v>
      </c>
      <c r="M23" s="5" t="s">
        <v>26</v>
      </c>
      <c r="N23" s="7" t="s">
        <v>578</v>
      </c>
    </row>
    <row r="24" spans="1:14" ht="32">
      <c r="A24" s="5">
        <v>6</v>
      </c>
      <c r="B24" s="5">
        <v>23</v>
      </c>
      <c r="C24" s="5">
        <v>9</v>
      </c>
      <c r="D24" s="4" t="s">
        <v>579</v>
      </c>
      <c r="E24" s="4" t="s">
        <v>222</v>
      </c>
      <c r="F24" s="4" t="s">
        <v>74</v>
      </c>
      <c r="G24" s="4" t="s">
        <v>580</v>
      </c>
      <c r="H24" s="5" t="s">
        <v>20</v>
      </c>
      <c r="I24" s="6">
        <v>1</v>
      </c>
      <c r="J24" s="4" t="s">
        <v>223</v>
      </c>
      <c r="K24" s="4" t="s">
        <v>224</v>
      </c>
      <c r="L24" s="4" t="s">
        <v>225</v>
      </c>
      <c r="M24" s="5" t="s">
        <v>26</v>
      </c>
      <c r="N24" s="7" t="s">
        <v>549</v>
      </c>
    </row>
    <row r="25" spans="1:14" ht="48">
      <c r="A25" s="5">
        <v>6</v>
      </c>
      <c r="B25" s="5">
        <v>24</v>
      </c>
      <c r="C25" s="5">
        <v>9</v>
      </c>
      <c r="D25" s="4" t="s">
        <v>581</v>
      </c>
      <c r="E25" s="4" t="s">
        <v>227</v>
      </c>
      <c r="F25" s="4" t="s">
        <v>115</v>
      </c>
      <c r="G25" s="4" t="s">
        <v>532</v>
      </c>
      <c r="H25" s="5" t="s">
        <v>20</v>
      </c>
      <c r="I25" s="6">
        <v>2.1</v>
      </c>
      <c r="J25" s="4" t="s">
        <v>228</v>
      </c>
      <c r="K25" s="4" t="s">
        <v>229</v>
      </c>
      <c r="L25" s="4" t="s">
        <v>230</v>
      </c>
      <c r="M25" s="5" t="s">
        <v>26</v>
      </c>
      <c r="N25" s="7" t="s">
        <v>582</v>
      </c>
    </row>
    <row r="26" spans="1:14" ht="32">
      <c r="A26" s="5">
        <v>6</v>
      </c>
      <c r="B26" s="5">
        <v>25</v>
      </c>
      <c r="C26" s="5">
        <v>9</v>
      </c>
      <c r="D26" s="4" t="s">
        <v>583</v>
      </c>
      <c r="E26" s="4" t="s">
        <v>232</v>
      </c>
      <c r="F26" s="4" t="s">
        <v>90</v>
      </c>
      <c r="G26" s="4" t="s">
        <v>551</v>
      </c>
      <c r="H26" s="5" t="s">
        <v>20</v>
      </c>
      <c r="I26" s="6">
        <v>1</v>
      </c>
      <c r="J26" s="4" t="s">
        <v>233</v>
      </c>
      <c r="K26" s="4" t="s">
        <v>234</v>
      </c>
      <c r="L26" s="4" t="s">
        <v>235</v>
      </c>
      <c r="M26" s="5" t="s">
        <v>26</v>
      </c>
      <c r="N26" s="7" t="s">
        <v>584</v>
      </c>
    </row>
    <row r="27" spans="1:14" ht="32">
      <c r="A27" s="5">
        <v>6</v>
      </c>
      <c r="B27" s="5">
        <v>26</v>
      </c>
      <c r="C27" s="5">
        <v>10</v>
      </c>
      <c r="D27" s="4" t="s">
        <v>585</v>
      </c>
      <c r="E27" s="4" t="s">
        <v>242</v>
      </c>
      <c r="F27" s="4" t="s">
        <v>74</v>
      </c>
      <c r="G27" s="4" t="s">
        <v>544</v>
      </c>
      <c r="H27" s="5" t="s">
        <v>20</v>
      </c>
      <c r="I27" s="6">
        <v>1.5</v>
      </c>
      <c r="J27" s="4" t="s">
        <v>243</v>
      </c>
      <c r="K27" s="4" t="s">
        <v>244</v>
      </c>
      <c r="L27" s="4" t="s">
        <v>245</v>
      </c>
      <c r="M27" s="5" t="s">
        <v>26</v>
      </c>
      <c r="N27" s="7" t="s">
        <v>545</v>
      </c>
    </row>
    <row r="28" spans="1:14" ht="32">
      <c r="A28" s="5">
        <v>7</v>
      </c>
      <c r="B28" s="5">
        <v>27</v>
      </c>
      <c r="C28" s="5">
        <v>10</v>
      </c>
      <c r="D28" s="4" t="s">
        <v>586</v>
      </c>
      <c r="E28" s="4" t="s">
        <v>247</v>
      </c>
      <c r="F28" s="4" t="s">
        <v>115</v>
      </c>
      <c r="G28" s="4" t="s">
        <v>532</v>
      </c>
      <c r="H28" s="5" t="s">
        <v>42</v>
      </c>
      <c r="I28" s="6">
        <v>0.9</v>
      </c>
      <c r="J28" s="4" t="s">
        <v>248</v>
      </c>
      <c r="K28" s="4" t="s">
        <v>249</v>
      </c>
      <c r="L28" s="4" t="s">
        <v>250</v>
      </c>
      <c r="M28" s="5" t="s">
        <v>26</v>
      </c>
      <c r="N28" s="7" t="s">
        <v>587</v>
      </c>
    </row>
    <row r="29" spans="1:14" ht="32">
      <c r="A29" s="5">
        <v>7</v>
      </c>
      <c r="B29" s="5">
        <v>28</v>
      </c>
      <c r="C29" s="5">
        <v>10</v>
      </c>
      <c r="D29" s="4" t="s">
        <v>588</v>
      </c>
      <c r="E29" s="4" t="s">
        <v>252</v>
      </c>
      <c r="F29" s="4" t="s">
        <v>115</v>
      </c>
      <c r="G29" s="4" t="s">
        <v>532</v>
      </c>
      <c r="H29" s="5" t="s">
        <v>20</v>
      </c>
      <c r="I29" s="6">
        <v>0.7</v>
      </c>
      <c r="J29" s="4" t="s">
        <v>253</v>
      </c>
      <c r="K29" s="4" t="s">
        <v>254</v>
      </c>
      <c r="L29" s="4" t="s">
        <v>255</v>
      </c>
      <c r="M29" s="5" t="s">
        <v>26</v>
      </c>
      <c r="N29" s="7" t="s">
        <v>589</v>
      </c>
    </row>
    <row r="30" spans="1:14" ht="64">
      <c r="A30" s="5">
        <v>6</v>
      </c>
      <c r="B30" s="5">
        <v>29</v>
      </c>
      <c r="C30" s="5">
        <v>10</v>
      </c>
      <c r="D30" s="4" t="s">
        <v>590</v>
      </c>
      <c r="E30" s="4" t="s">
        <v>257</v>
      </c>
      <c r="F30" s="4" t="s">
        <v>258</v>
      </c>
      <c r="G30" s="4" t="s">
        <v>591</v>
      </c>
      <c r="H30" s="5" t="s">
        <v>42</v>
      </c>
      <c r="I30" s="6">
        <v>8</v>
      </c>
      <c r="J30" s="4" t="s">
        <v>259</v>
      </c>
      <c r="K30" s="4" t="s">
        <v>260</v>
      </c>
      <c r="L30" s="4" t="s">
        <v>261</v>
      </c>
      <c r="M30" s="5" t="s">
        <v>26</v>
      </c>
      <c r="N30" s="7" t="s">
        <v>592</v>
      </c>
    </row>
    <row r="31" spans="1:14" ht="32">
      <c r="A31" s="5">
        <v>7</v>
      </c>
      <c r="B31" s="5">
        <v>30</v>
      </c>
      <c r="C31" s="5">
        <v>11</v>
      </c>
      <c r="D31" s="4" t="s">
        <v>593</v>
      </c>
      <c r="E31" s="4" t="s">
        <v>278</v>
      </c>
      <c r="F31" s="4" t="s">
        <v>35</v>
      </c>
      <c r="G31" s="4" t="s">
        <v>538</v>
      </c>
      <c r="H31" s="5" t="s">
        <v>20</v>
      </c>
      <c r="I31" s="6">
        <v>2</v>
      </c>
      <c r="J31" s="4" t="s">
        <v>279</v>
      </c>
      <c r="K31" s="4" t="s">
        <v>280</v>
      </c>
      <c r="L31" s="4" t="s">
        <v>281</v>
      </c>
      <c r="M31" s="5" t="s">
        <v>26</v>
      </c>
      <c r="N31" s="7" t="s">
        <v>594</v>
      </c>
    </row>
    <row r="32" spans="1:14" ht="48">
      <c r="A32" s="5">
        <v>7</v>
      </c>
      <c r="B32" s="5">
        <v>31</v>
      </c>
      <c r="C32" s="5">
        <v>11</v>
      </c>
      <c r="D32" s="4" t="s">
        <v>595</v>
      </c>
      <c r="E32" s="4" t="s">
        <v>283</v>
      </c>
      <c r="F32" s="4" t="s">
        <v>90</v>
      </c>
      <c r="G32" s="4" t="s">
        <v>551</v>
      </c>
      <c r="H32" s="5" t="s">
        <v>20</v>
      </c>
      <c r="I32" s="6">
        <v>1.5</v>
      </c>
      <c r="J32" s="4" t="s">
        <v>284</v>
      </c>
      <c r="K32" s="4" t="s">
        <v>285</v>
      </c>
      <c r="L32" s="4" t="s">
        <v>286</v>
      </c>
      <c r="M32" s="5" t="s">
        <v>26</v>
      </c>
      <c r="N32" s="7" t="s">
        <v>596</v>
      </c>
    </row>
    <row r="33" spans="1:14" ht="32">
      <c r="A33" s="5">
        <v>8</v>
      </c>
      <c r="B33" s="5">
        <v>32</v>
      </c>
      <c r="C33" s="5">
        <v>12</v>
      </c>
      <c r="D33" s="4" t="s">
        <v>597</v>
      </c>
      <c r="E33" s="4" t="s">
        <v>288</v>
      </c>
      <c r="F33" s="4" t="s">
        <v>19</v>
      </c>
      <c r="G33" s="4" t="s">
        <v>566</v>
      </c>
      <c r="H33" s="5" t="s">
        <v>20</v>
      </c>
      <c r="I33" s="6">
        <v>5</v>
      </c>
      <c r="J33" s="4" t="s">
        <v>289</v>
      </c>
      <c r="K33" s="4" t="s">
        <v>290</v>
      </c>
      <c r="L33" s="4" t="s">
        <v>291</v>
      </c>
      <c r="M33" s="5" t="s">
        <v>26</v>
      </c>
      <c r="N33" s="7" t="s">
        <v>598</v>
      </c>
    </row>
    <row r="34" spans="1:14" ht="32">
      <c r="A34" s="5">
        <v>8</v>
      </c>
      <c r="B34" s="5">
        <v>33</v>
      </c>
      <c r="C34" s="5">
        <v>12</v>
      </c>
      <c r="D34" s="4" t="s">
        <v>599</v>
      </c>
      <c r="E34" s="4" t="s">
        <v>293</v>
      </c>
      <c r="F34" s="4" t="s">
        <v>74</v>
      </c>
      <c r="G34" s="4" t="s">
        <v>544</v>
      </c>
      <c r="H34" s="5" t="s">
        <v>20</v>
      </c>
      <c r="I34" s="6">
        <v>4.5</v>
      </c>
      <c r="J34" s="4" t="s">
        <v>294</v>
      </c>
      <c r="K34" s="4" t="s">
        <v>295</v>
      </c>
      <c r="L34" s="4" t="s">
        <v>296</v>
      </c>
      <c r="M34" s="5" t="s">
        <v>26</v>
      </c>
      <c r="N34" s="7" t="s">
        <v>549</v>
      </c>
    </row>
    <row r="35" spans="1:14" ht="32">
      <c r="A35" s="5">
        <v>8</v>
      </c>
      <c r="B35" s="5">
        <v>34</v>
      </c>
      <c r="C35" s="5">
        <v>13</v>
      </c>
      <c r="D35" s="4" t="s">
        <v>600</v>
      </c>
      <c r="E35" s="4" t="s">
        <v>313</v>
      </c>
      <c r="F35" s="4" t="s">
        <v>35</v>
      </c>
      <c r="G35" s="4" t="s">
        <v>538</v>
      </c>
      <c r="H35" s="5" t="s">
        <v>42</v>
      </c>
      <c r="I35" s="6">
        <v>2</v>
      </c>
      <c r="J35" s="4" t="s">
        <v>314</v>
      </c>
      <c r="K35" s="4" t="s">
        <v>315</v>
      </c>
      <c r="L35" s="4" t="s">
        <v>316</v>
      </c>
      <c r="M35" s="5" t="s">
        <v>26</v>
      </c>
      <c r="N35" s="7" t="s">
        <v>601</v>
      </c>
    </row>
    <row r="36" spans="1:14" ht="32">
      <c r="A36" s="5">
        <v>9</v>
      </c>
      <c r="B36" s="5">
        <v>35</v>
      </c>
      <c r="C36" s="5">
        <v>13</v>
      </c>
      <c r="D36" s="4" t="s">
        <v>602</v>
      </c>
      <c r="E36" s="4" t="s">
        <v>318</v>
      </c>
      <c r="F36" s="4" t="s">
        <v>19</v>
      </c>
      <c r="G36" s="4" t="s">
        <v>603</v>
      </c>
      <c r="H36" s="5" t="s">
        <v>20</v>
      </c>
      <c r="I36" s="6">
        <v>1.75</v>
      </c>
      <c r="J36" s="4" t="s">
        <v>319</v>
      </c>
      <c r="K36" s="4" t="s">
        <v>320</v>
      </c>
      <c r="L36" s="4" t="s">
        <v>321</v>
      </c>
      <c r="M36" s="5" t="s">
        <v>26</v>
      </c>
      <c r="N36" s="7" t="s">
        <v>604</v>
      </c>
    </row>
    <row r="37" spans="1:14" ht="32">
      <c r="A37" s="5">
        <v>9</v>
      </c>
      <c r="B37" s="5">
        <v>36</v>
      </c>
      <c r="C37" s="5">
        <v>14</v>
      </c>
      <c r="D37" s="4" t="s">
        <v>605</v>
      </c>
      <c r="E37" s="4" t="s">
        <v>323</v>
      </c>
      <c r="F37" s="4" t="s">
        <v>74</v>
      </c>
      <c r="G37" s="4" t="s">
        <v>606</v>
      </c>
      <c r="H37" s="5" t="s">
        <v>20</v>
      </c>
      <c r="I37" s="6">
        <v>4.5</v>
      </c>
      <c r="J37" s="4" t="s">
        <v>324</v>
      </c>
      <c r="K37" s="4" t="s">
        <v>325</v>
      </c>
      <c r="L37" s="4" t="s">
        <v>326</v>
      </c>
      <c r="M37" s="5" t="s">
        <v>26</v>
      </c>
      <c r="N37" s="7" t="s">
        <v>549</v>
      </c>
    </row>
    <row r="38" spans="1:14" ht="32">
      <c r="A38" s="5">
        <v>9</v>
      </c>
      <c r="B38" s="5">
        <v>37</v>
      </c>
      <c r="C38" s="5">
        <v>14</v>
      </c>
      <c r="D38" s="4" t="s">
        <v>607</v>
      </c>
      <c r="E38" s="4" t="s">
        <v>328</v>
      </c>
      <c r="F38" s="4" t="s">
        <v>329</v>
      </c>
      <c r="G38" s="4" t="s">
        <v>608</v>
      </c>
      <c r="H38" s="5" t="s">
        <v>42</v>
      </c>
      <c r="I38" s="6">
        <v>1</v>
      </c>
      <c r="J38" s="4" t="s">
        <v>330</v>
      </c>
      <c r="K38" s="4" t="s">
        <v>331</v>
      </c>
      <c r="L38" s="4" t="s">
        <v>332</v>
      </c>
      <c r="M38" s="5" t="s">
        <v>26</v>
      </c>
      <c r="N38" s="7" t="s">
        <v>609</v>
      </c>
    </row>
    <row r="39" spans="1:14" ht="48">
      <c r="A39" s="5">
        <v>9</v>
      </c>
      <c r="B39" s="5">
        <v>38</v>
      </c>
      <c r="C39" s="5">
        <v>14</v>
      </c>
      <c r="D39" s="4" t="s">
        <v>610</v>
      </c>
      <c r="E39" s="4" t="s">
        <v>334</v>
      </c>
      <c r="F39" s="4" t="s">
        <v>90</v>
      </c>
      <c r="G39" s="4" t="s">
        <v>551</v>
      </c>
      <c r="H39" s="5" t="s">
        <v>20</v>
      </c>
      <c r="I39" s="6">
        <v>1</v>
      </c>
      <c r="J39" s="4" t="s">
        <v>335</v>
      </c>
      <c r="K39" s="4" t="s">
        <v>336</v>
      </c>
      <c r="L39" s="4" t="s">
        <v>337</v>
      </c>
      <c r="M39" s="5" t="s">
        <v>26</v>
      </c>
      <c r="N39" s="7" t="s">
        <v>611</v>
      </c>
    </row>
    <row r="40" spans="1:14" ht="32">
      <c r="A40" s="5">
        <v>9</v>
      </c>
      <c r="B40" s="5">
        <v>39</v>
      </c>
      <c r="C40" s="5">
        <v>15</v>
      </c>
      <c r="D40" s="4" t="s">
        <v>612</v>
      </c>
      <c r="E40" s="4" t="s">
        <v>356</v>
      </c>
      <c r="F40" s="4" t="s">
        <v>90</v>
      </c>
      <c r="G40" s="4" t="s">
        <v>551</v>
      </c>
      <c r="H40" s="5" t="s">
        <v>20</v>
      </c>
      <c r="I40" s="6">
        <v>1</v>
      </c>
      <c r="J40" s="4" t="s">
        <v>357</v>
      </c>
      <c r="K40" s="4" t="s">
        <v>358</v>
      </c>
      <c r="L40" s="4" t="s">
        <v>359</v>
      </c>
      <c r="M40" s="5" t="s">
        <v>26</v>
      </c>
      <c r="N40" s="7" t="s">
        <v>613</v>
      </c>
    </row>
    <row r="41" spans="1:14" ht="64">
      <c r="A41" s="5">
        <v>9</v>
      </c>
      <c r="B41" s="5">
        <v>40</v>
      </c>
      <c r="C41" s="5">
        <v>15</v>
      </c>
      <c r="D41" s="4" t="s">
        <v>614</v>
      </c>
      <c r="E41" s="4" t="s">
        <v>361</v>
      </c>
      <c r="F41" s="4" t="s">
        <v>258</v>
      </c>
      <c r="G41" s="4" t="s">
        <v>615</v>
      </c>
      <c r="H41" s="5" t="s">
        <v>20</v>
      </c>
      <c r="I41" s="6">
        <v>10</v>
      </c>
      <c r="J41" s="4" t="s">
        <v>362</v>
      </c>
      <c r="K41" s="4" t="s">
        <v>363</v>
      </c>
      <c r="L41" s="4" t="s">
        <v>364</v>
      </c>
      <c r="M41" s="5" t="s">
        <v>26</v>
      </c>
      <c r="N41" s="7" t="s">
        <v>616</v>
      </c>
    </row>
    <row r="42" spans="1:14" ht="80">
      <c r="A42" s="5">
        <v>10</v>
      </c>
      <c r="B42" s="5">
        <v>41</v>
      </c>
      <c r="C42" s="5">
        <v>15</v>
      </c>
      <c r="D42" s="4" t="s">
        <v>617</v>
      </c>
      <c r="E42" s="4" t="s">
        <v>366</v>
      </c>
      <c r="F42" s="4" t="s">
        <v>341</v>
      </c>
      <c r="G42" s="4" t="s">
        <v>618</v>
      </c>
      <c r="H42" s="5" t="s">
        <v>20</v>
      </c>
      <c r="I42" s="6">
        <v>24</v>
      </c>
      <c r="J42" s="4" t="s">
        <v>367</v>
      </c>
      <c r="K42" s="4" t="s">
        <v>368</v>
      </c>
      <c r="L42" s="4" t="s">
        <v>369</v>
      </c>
      <c r="M42" s="5" t="s">
        <v>26</v>
      </c>
      <c r="N42" s="7" t="s">
        <v>619</v>
      </c>
    </row>
    <row r="43" spans="1:14" ht="48">
      <c r="A43" s="5">
        <v>10</v>
      </c>
      <c r="B43" s="5">
        <v>42</v>
      </c>
      <c r="C43" s="5">
        <v>15</v>
      </c>
      <c r="D43" s="4" t="s">
        <v>620</v>
      </c>
      <c r="E43" s="4" t="s">
        <v>371</v>
      </c>
      <c r="F43" s="4" t="s">
        <v>372</v>
      </c>
      <c r="G43" s="4" t="s">
        <v>532</v>
      </c>
      <c r="H43" s="5" t="s">
        <v>42</v>
      </c>
      <c r="I43" s="6">
        <v>21.1</v>
      </c>
      <c r="J43" s="4" t="s">
        <v>373</v>
      </c>
      <c r="K43" s="4" t="s">
        <v>374</v>
      </c>
      <c r="L43" s="4" t="s">
        <v>375</v>
      </c>
      <c r="M43" s="5" t="s">
        <v>26</v>
      </c>
      <c r="N43" s="7" t="s">
        <v>621</v>
      </c>
    </row>
    <row r="44" spans="1:14" ht="48">
      <c r="A44" s="5">
        <v>10</v>
      </c>
      <c r="B44" s="5">
        <v>43</v>
      </c>
      <c r="C44" s="5">
        <v>16</v>
      </c>
      <c r="D44" s="4" t="s">
        <v>622</v>
      </c>
      <c r="E44" s="4" t="s">
        <v>387</v>
      </c>
      <c r="F44" s="4" t="s">
        <v>372</v>
      </c>
      <c r="G44" s="4" t="s">
        <v>532</v>
      </c>
      <c r="H44" s="5" t="s">
        <v>42</v>
      </c>
      <c r="I44" s="6">
        <v>7.5</v>
      </c>
      <c r="J44" s="4" t="s">
        <v>388</v>
      </c>
      <c r="K44" s="4" t="s">
        <v>389</v>
      </c>
      <c r="L44" s="4" t="s">
        <v>390</v>
      </c>
      <c r="M44" s="5" t="s">
        <v>26</v>
      </c>
      <c r="N44" s="7" t="s">
        <v>623</v>
      </c>
    </row>
    <row r="45" spans="1:14" ht="32">
      <c r="A45" s="5">
        <v>10</v>
      </c>
      <c r="B45" s="5">
        <v>44</v>
      </c>
      <c r="C45" s="5">
        <v>16</v>
      </c>
      <c r="D45" s="4" t="s">
        <v>624</v>
      </c>
      <c r="E45" s="4" t="s">
        <v>392</v>
      </c>
      <c r="F45" s="4" t="s">
        <v>115</v>
      </c>
      <c r="G45" s="4" t="s">
        <v>566</v>
      </c>
      <c r="H45" s="5" t="s">
        <v>42</v>
      </c>
      <c r="I45" s="6">
        <v>16</v>
      </c>
      <c r="J45" s="4" t="s">
        <v>393</v>
      </c>
      <c r="K45" s="4" t="s">
        <v>394</v>
      </c>
      <c r="L45" s="4" t="s">
        <v>395</v>
      </c>
      <c r="M45" s="5" t="s">
        <v>26</v>
      </c>
      <c r="N45" s="7" t="s">
        <v>625</v>
      </c>
    </row>
    <row r="46" spans="1:14" ht="32">
      <c r="A46" s="5">
        <v>11</v>
      </c>
      <c r="B46" s="5">
        <v>45</v>
      </c>
      <c r="C46" s="5">
        <v>17</v>
      </c>
      <c r="D46" s="4" t="s">
        <v>626</v>
      </c>
      <c r="E46" s="4" t="s">
        <v>416</v>
      </c>
      <c r="F46" s="4" t="s">
        <v>90</v>
      </c>
      <c r="G46" s="4" t="s">
        <v>551</v>
      </c>
      <c r="H46" s="5" t="s">
        <v>20</v>
      </c>
      <c r="I46" s="6">
        <v>1</v>
      </c>
      <c r="J46" s="4" t="s">
        <v>417</v>
      </c>
      <c r="K46" s="4" t="s">
        <v>418</v>
      </c>
      <c r="L46" s="4" t="s">
        <v>419</v>
      </c>
      <c r="M46" s="5" t="s">
        <v>26</v>
      </c>
      <c r="N46" s="7" t="s">
        <v>627</v>
      </c>
    </row>
    <row r="47" spans="1:14" ht="32">
      <c r="A47" s="5">
        <v>11</v>
      </c>
      <c r="B47" s="5">
        <v>46</v>
      </c>
      <c r="C47" s="5">
        <v>17</v>
      </c>
      <c r="D47" s="4" t="s">
        <v>628</v>
      </c>
      <c r="E47" s="4" t="s">
        <v>421</v>
      </c>
      <c r="F47" s="4" t="s">
        <v>96</v>
      </c>
      <c r="G47" s="4" t="s">
        <v>541</v>
      </c>
      <c r="H47" s="5" t="s">
        <v>42</v>
      </c>
      <c r="I47" s="6">
        <v>0.8</v>
      </c>
      <c r="J47" s="4" t="s">
        <v>422</v>
      </c>
      <c r="K47" s="4" t="s">
        <v>423</v>
      </c>
      <c r="L47" s="4" t="s">
        <v>424</v>
      </c>
      <c r="M47" s="5" t="s">
        <v>26</v>
      </c>
      <c r="N47" s="7" t="s">
        <v>629</v>
      </c>
    </row>
    <row r="48" spans="1:14" ht="32">
      <c r="A48" s="5">
        <v>11</v>
      </c>
      <c r="B48" s="5">
        <v>47</v>
      </c>
      <c r="C48" s="5">
        <v>17</v>
      </c>
      <c r="D48" s="4" t="s">
        <v>630</v>
      </c>
      <c r="E48" s="4" t="s">
        <v>426</v>
      </c>
      <c r="F48" s="4" t="s">
        <v>41</v>
      </c>
      <c r="G48" s="4" t="s">
        <v>541</v>
      </c>
      <c r="H48" s="5" t="s">
        <v>62</v>
      </c>
      <c r="I48" s="6">
        <v>0.2</v>
      </c>
      <c r="J48" s="4" t="s">
        <v>427</v>
      </c>
      <c r="K48" s="4" t="s">
        <v>428</v>
      </c>
      <c r="L48" s="4" t="s">
        <v>429</v>
      </c>
      <c r="M48" s="5" t="s">
        <v>26</v>
      </c>
      <c r="N48" s="7" t="s">
        <v>631</v>
      </c>
    </row>
    <row r="49" spans="1:14" ht="32">
      <c r="A49" s="5">
        <v>11</v>
      </c>
      <c r="B49" s="5">
        <v>48</v>
      </c>
      <c r="C49" s="5">
        <v>17</v>
      </c>
      <c r="D49" s="4" t="s">
        <v>632</v>
      </c>
      <c r="E49" s="4" t="s">
        <v>431</v>
      </c>
      <c r="F49" s="4" t="s">
        <v>41</v>
      </c>
      <c r="G49" s="4" t="s">
        <v>541</v>
      </c>
      <c r="H49" s="5" t="s">
        <v>42</v>
      </c>
      <c r="I49" s="6">
        <v>0.25</v>
      </c>
      <c r="J49" s="4" t="s">
        <v>432</v>
      </c>
      <c r="K49" s="4" t="s">
        <v>433</v>
      </c>
      <c r="L49" s="4" t="s">
        <v>434</v>
      </c>
      <c r="M49" s="5" t="s">
        <v>26</v>
      </c>
      <c r="N49" s="7" t="s">
        <v>633</v>
      </c>
    </row>
    <row r="50" spans="1:14" ht="48">
      <c r="A50" s="5">
        <v>12</v>
      </c>
      <c r="B50" s="5">
        <v>49</v>
      </c>
      <c r="C50" s="5">
        <v>18</v>
      </c>
      <c r="D50" s="4" t="s">
        <v>634</v>
      </c>
      <c r="E50" s="4" t="s">
        <v>446</v>
      </c>
      <c r="F50" s="4" t="s">
        <v>181</v>
      </c>
      <c r="G50" s="4" t="s">
        <v>635</v>
      </c>
      <c r="H50" s="5" t="s">
        <v>20</v>
      </c>
      <c r="I50" s="6">
        <v>12</v>
      </c>
      <c r="J50" s="4" t="s">
        <v>447</v>
      </c>
      <c r="K50" s="4" t="s">
        <v>448</v>
      </c>
      <c r="L50" s="4" t="s">
        <v>450</v>
      </c>
      <c r="M50" s="5" t="s">
        <v>26</v>
      </c>
      <c r="N50" s="7"/>
    </row>
    <row r="51" spans="1:14" ht="32">
      <c r="A51" s="5">
        <v>12</v>
      </c>
      <c r="B51" s="5">
        <v>50</v>
      </c>
      <c r="C51" s="5">
        <v>19</v>
      </c>
      <c r="D51" s="4" t="s">
        <v>636</v>
      </c>
      <c r="E51" s="4" t="s">
        <v>457</v>
      </c>
      <c r="F51" s="4" t="s">
        <v>181</v>
      </c>
      <c r="G51" s="4" t="s">
        <v>635</v>
      </c>
      <c r="H51" s="5" t="s">
        <v>20</v>
      </c>
      <c r="I51" s="6">
        <v>8</v>
      </c>
      <c r="J51" s="4" t="s">
        <v>458</v>
      </c>
      <c r="K51" s="4" t="s">
        <v>459</v>
      </c>
      <c r="L51" s="4" t="s">
        <v>460</v>
      </c>
      <c r="M51" s="5" t="s">
        <v>26</v>
      </c>
      <c r="N51" s="7"/>
    </row>
    <row r="52" spans="1:14" ht="32">
      <c r="A52" s="5">
        <v>12</v>
      </c>
      <c r="B52" s="5">
        <v>51</v>
      </c>
      <c r="C52" s="5">
        <v>19</v>
      </c>
      <c r="D52" s="4" t="s">
        <v>637</v>
      </c>
      <c r="E52" s="4" t="s">
        <v>462</v>
      </c>
      <c r="F52" s="4" t="s">
        <v>181</v>
      </c>
      <c r="G52" s="4" t="s">
        <v>635</v>
      </c>
      <c r="H52" s="5" t="s">
        <v>20</v>
      </c>
      <c r="I52" s="6">
        <v>8</v>
      </c>
      <c r="J52" s="4" t="s">
        <v>463</v>
      </c>
      <c r="K52" s="4" t="s">
        <v>464</v>
      </c>
      <c r="L52" s="4" t="s">
        <v>465</v>
      </c>
      <c r="M52" s="5" t="s">
        <v>26</v>
      </c>
      <c r="N52" s="4"/>
    </row>
    <row r="53" spans="1:14" ht="32">
      <c r="A53" s="5">
        <v>12</v>
      </c>
      <c r="B53" s="5">
        <v>52</v>
      </c>
      <c r="C53" s="5">
        <v>20</v>
      </c>
      <c r="D53" s="4" t="s">
        <v>638</v>
      </c>
      <c r="E53" s="4" t="s">
        <v>467</v>
      </c>
      <c r="F53" s="4" t="s">
        <v>181</v>
      </c>
      <c r="G53" s="4" t="s">
        <v>639</v>
      </c>
      <c r="H53" s="5" t="s">
        <v>20</v>
      </c>
      <c r="I53" s="6">
        <v>16</v>
      </c>
      <c r="J53" s="4" t="s">
        <v>468</v>
      </c>
      <c r="K53" s="4" t="s">
        <v>469</v>
      </c>
      <c r="L53" s="4" t="s">
        <v>470</v>
      </c>
      <c r="M53" s="5" t="s">
        <v>26</v>
      </c>
      <c r="N53" s="4"/>
    </row>
    <row r="54" spans="1:14" ht="32">
      <c r="A54" s="5">
        <v>12</v>
      </c>
      <c r="B54" s="5">
        <v>53</v>
      </c>
      <c r="C54" s="5">
        <v>20</v>
      </c>
      <c r="D54" s="4" t="s">
        <v>640</v>
      </c>
      <c r="E54" s="4" t="s">
        <v>472</v>
      </c>
      <c r="F54" s="4" t="s">
        <v>181</v>
      </c>
      <c r="G54" s="4" t="s">
        <v>641</v>
      </c>
      <c r="H54" s="5" t="s">
        <v>20</v>
      </c>
      <c r="I54" s="6">
        <v>4</v>
      </c>
      <c r="J54" s="4" t="s">
        <v>473</v>
      </c>
      <c r="K54" s="4" t="s">
        <v>474</v>
      </c>
      <c r="L54" s="4" t="s">
        <v>475</v>
      </c>
      <c r="M54" s="5" t="s">
        <v>26</v>
      </c>
      <c r="N54" s="4"/>
    </row>
    <row r="55" spans="1:14">
      <c r="A55" s="5"/>
      <c r="B55" s="5"/>
      <c r="C55" s="5"/>
      <c r="D55" s="4"/>
      <c r="E55" s="4"/>
      <c r="F55" s="4"/>
      <c r="G55" s="4"/>
      <c r="H55" s="5"/>
      <c r="I55" s="6"/>
      <c r="J55" s="4"/>
      <c r="K55" s="4"/>
      <c r="L55" s="4"/>
      <c r="M55" s="5"/>
      <c r="N55" s="4"/>
    </row>
    <row r="56" spans="1:14">
      <c r="A56" s="5"/>
      <c r="B56" s="5"/>
      <c r="C56" s="5"/>
      <c r="D56" s="4"/>
      <c r="E56" s="4"/>
      <c r="F56" s="4"/>
      <c r="G56" s="4"/>
      <c r="H56" s="5"/>
      <c r="I56" s="6"/>
      <c r="J56" s="4"/>
      <c r="K56" s="4"/>
      <c r="L56" s="4"/>
      <c r="M56" s="5"/>
      <c r="N56" s="4"/>
    </row>
    <row r="57" spans="1:14">
      <c r="A57" s="5"/>
      <c r="B57" s="5"/>
      <c r="C57" s="5"/>
      <c r="D57" s="4"/>
      <c r="E57" s="4"/>
      <c r="F57" s="4"/>
      <c r="G57" s="4"/>
      <c r="H57" s="5"/>
      <c r="I57" s="6"/>
      <c r="J57" s="4"/>
      <c r="K57" s="4"/>
      <c r="L57" s="4"/>
      <c r="M57" s="5"/>
      <c r="N57" s="4"/>
    </row>
    <row r="58" spans="1:14">
      <c r="A58" s="5"/>
      <c r="B58" s="5"/>
      <c r="C58" s="5"/>
      <c r="D58" s="4"/>
      <c r="E58" s="4"/>
      <c r="F58" s="4"/>
      <c r="G58" s="4"/>
      <c r="H58" s="5"/>
      <c r="I58" s="6"/>
      <c r="J58" s="4"/>
      <c r="K58" s="4"/>
      <c r="L58" s="4"/>
      <c r="M58" s="5"/>
      <c r="N58" s="4"/>
    </row>
    <row r="59" spans="1:14">
      <c r="A59" s="5"/>
      <c r="B59" s="5"/>
      <c r="C59" s="5"/>
      <c r="D59" s="4"/>
      <c r="E59" s="4"/>
      <c r="F59" s="4"/>
      <c r="G59" s="4"/>
      <c r="H59" s="5"/>
      <c r="I59" s="6"/>
      <c r="J59" s="4"/>
      <c r="K59" s="4"/>
      <c r="L59" s="4"/>
      <c r="M59" s="5"/>
      <c r="N59" s="4"/>
    </row>
    <row r="60" spans="1:14">
      <c r="A60" s="5"/>
      <c r="B60" s="5"/>
      <c r="C60" s="5"/>
      <c r="D60" s="4"/>
      <c r="E60" s="4"/>
      <c r="F60" s="4"/>
      <c r="G60" s="4"/>
      <c r="H60" s="5"/>
      <c r="I60" s="6"/>
      <c r="J60" s="4"/>
      <c r="K60" s="4"/>
      <c r="L60" s="4"/>
      <c r="M60" s="5"/>
      <c r="N60" s="4"/>
    </row>
  </sheetData>
  <conditionalFormatting sqref="H2:H51">
    <cfRule type="expression" dxfId="18" priority="6">
      <formula>H2="VERY HIGH"</formula>
    </cfRule>
    <cfRule type="expression" dxfId="17" priority="7">
      <formula>H2="HIGH"</formula>
    </cfRule>
    <cfRule type="expression" dxfId="16" priority="8">
      <formula>H2="MEDIUM"</formula>
    </cfRule>
  </conditionalFormatting>
  <conditionalFormatting sqref="H2:H100">
    <cfRule type="expression" dxfId="15" priority="4">
      <formula>H2="P0"</formula>
    </cfRule>
    <cfRule type="expression" dxfId="14" priority="5">
      <formula>H2="P1"</formula>
    </cfRule>
  </conditionalFormatting>
  <conditionalFormatting sqref="M2:M100">
    <cfRule type="expression" dxfId="13" priority="1">
      <formula>M2="Done"</formula>
    </cfRule>
    <cfRule type="expression" dxfId="12" priority="2">
      <formula>M2="In Progress"</formula>
    </cfRule>
    <cfRule type="expression" dxfId="11" priority="3">
      <formula>M2="Skipped"</formula>
    </cfRule>
  </conditionalFormatting>
  <dataValidations count="2">
    <dataValidation type="list" sqref="M2:M100" xr:uid="{00000000-0002-0000-0200-000000000000}">
      <formula1>"Not Started,In Progress,Done,Skipped"</formula1>
    </dataValidation>
    <dataValidation type="list" sqref="H2:H100" xr:uid="{00000000-0002-0000-0200-000001000000}">
      <formula1>"P0,P1,P2"</formula1>
    </dataValidation>
  </dataValidations>
  <hyperlinks>
    <hyperlink ref="N1" location="'Master Plan'!A1" display="Back to Master Plan" xr:uid="{00000000-0004-0000-0200-000000000000}"/>
    <hyperlink ref="N2" r:id="rId1" xr:uid="{00000000-0004-0000-0200-000001000000}"/>
    <hyperlink ref="N3" r:id="rId2" xr:uid="{00000000-0004-0000-0200-000002000000}"/>
    <hyperlink ref="N4" r:id="rId3" xr:uid="{00000000-0004-0000-0200-000003000000}"/>
    <hyperlink ref="N5" r:id="rId4" xr:uid="{00000000-0004-0000-0200-000004000000}"/>
    <hyperlink ref="N6" r:id="rId5" xr:uid="{00000000-0004-0000-0200-000005000000}"/>
    <hyperlink ref="N7" r:id="rId6" xr:uid="{00000000-0004-0000-0200-000006000000}"/>
    <hyperlink ref="N8" r:id="rId7" xr:uid="{00000000-0004-0000-0200-000007000000}"/>
    <hyperlink ref="N9" r:id="rId8" xr:uid="{00000000-0004-0000-0200-000008000000}"/>
    <hyperlink ref="N10" r:id="rId9" xr:uid="{00000000-0004-0000-0200-000009000000}"/>
    <hyperlink ref="N11" r:id="rId10" xr:uid="{00000000-0004-0000-0200-00000A000000}"/>
    <hyperlink ref="N12" r:id="rId11" xr:uid="{00000000-0004-0000-0200-00000B000000}"/>
    <hyperlink ref="N13" r:id="rId12" xr:uid="{00000000-0004-0000-0200-00000C000000}"/>
    <hyperlink ref="N14" r:id="rId13" xr:uid="{00000000-0004-0000-0200-00000D000000}"/>
    <hyperlink ref="N15" r:id="rId14" xr:uid="{00000000-0004-0000-0200-00000E000000}"/>
    <hyperlink ref="N16" r:id="rId15" xr:uid="{00000000-0004-0000-0200-00000F000000}"/>
    <hyperlink ref="N17" r:id="rId16" xr:uid="{00000000-0004-0000-0200-000010000000}"/>
    <hyperlink ref="N18" r:id="rId17" xr:uid="{00000000-0004-0000-0200-000011000000}"/>
    <hyperlink ref="N19" r:id="rId18" xr:uid="{00000000-0004-0000-0200-000012000000}"/>
    <hyperlink ref="N20" r:id="rId19" xr:uid="{00000000-0004-0000-0200-000013000000}"/>
    <hyperlink ref="N21" r:id="rId20" xr:uid="{00000000-0004-0000-0200-000014000000}"/>
    <hyperlink ref="N22" r:id="rId21" xr:uid="{00000000-0004-0000-0200-000015000000}"/>
    <hyperlink ref="N23" r:id="rId22" xr:uid="{00000000-0004-0000-0200-000016000000}"/>
    <hyperlink ref="N24" r:id="rId23" xr:uid="{00000000-0004-0000-0200-000017000000}"/>
    <hyperlink ref="N25" r:id="rId24" xr:uid="{00000000-0004-0000-0200-000018000000}"/>
    <hyperlink ref="N26" r:id="rId25" xr:uid="{00000000-0004-0000-0200-000019000000}"/>
    <hyperlink ref="N27" r:id="rId26" xr:uid="{00000000-0004-0000-0200-00001A000000}"/>
    <hyperlink ref="N28" r:id="rId27" xr:uid="{00000000-0004-0000-0200-00001B000000}"/>
    <hyperlink ref="N29" r:id="rId28" xr:uid="{00000000-0004-0000-0200-00001C000000}"/>
    <hyperlink ref="N30" r:id="rId29" xr:uid="{00000000-0004-0000-0200-00001D000000}"/>
    <hyperlink ref="N31" r:id="rId30" xr:uid="{00000000-0004-0000-0200-00001E000000}"/>
    <hyperlink ref="N32" r:id="rId31" xr:uid="{00000000-0004-0000-0200-00001F000000}"/>
    <hyperlink ref="N33" r:id="rId32" xr:uid="{00000000-0004-0000-0200-000020000000}"/>
    <hyperlink ref="N34" r:id="rId33" xr:uid="{00000000-0004-0000-0200-000021000000}"/>
    <hyperlink ref="N35" r:id="rId34" xr:uid="{00000000-0004-0000-0200-000022000000}"/>
    <hyperlink ref="N36" r:id="rId35" xr:uid="{00000000-0004-0000-0200-000023000000}"/>
    <hyperlink ref="N37" r:id="rId36" xr:uid="{00000000-0004-0000-0200-000024000000}"/>
    <hyperlink ref="N38" r:id="rId37" xr:uid="{00000000-0004-0000-0200-000025000000}"/>
    <hyperlink ref="N39" r:id="rId38" xr:uid="{00000000-0004-0000-0200-000026000000}"/>
    <hyperlink ref="N40" r:id="rId39" xr:uid="{00000000-0004-0000-0200-000027000000}"/>
    <hyperlink ref="N41" r:id="rId40" xr:uid="{00000000-0004-0000-0200-000028000000}"/>
    <hyperlink ref="N42" r:id="rId41" xr:uid="{00000000-0004-0000-0200-000029000000}"/>
    <hyperlink ref="N43" r:id="rId42" xr:uid="{00000000-0004-0000-0200-00002A000000}"/>
    <hyperlink ref="N44" r:id="rId43" xr:uid="{00000000-0004-0000-0200-00002B000000}"/>
    <hyperlink ref="N45" r:id="rId44" xr:uid="{00000000-0004-0000-0200-00002C000000}"/>
    <hyperlink ref="N46" r:id="rId45" xr:uid="{00000000-0004-0000-0200-00002D000000}"/>
    <hyperlink ref="N47" r:id="rId46" xr:uid="{00000000-0004-0000-0200-00002E000000}"/>
    <hyperlink ref="N48" r:id="rId47" xr:uid="{00000000-0004-0000-0200-00002F000000}"/>
    <hyperlink ref="N49" r:id="rId48" xr:uid="{00000000-0004-0000-0200-000030000000}"/>
  </hyperlinks>
  <pageMargins left="0.7" right="0.7" top="0.75" bottom="0.75" header="0.3" footer="0.3"/>
  <tableParts count="1">
    <tablePart r:id="rId49"/>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30"/>
  <sheetViews>
    <sheetView workbookViewId="0">
      <selection activeCell="D1" sqref="D1"/>
    </sheetView>
  </sheetViews>
  <sheetFormatPr baseColWidth="10" defaultColWidth="8.83203125" defaultRowHeight="15"/>
  <cols>
    <col min="1" max="1" width="5" customWidth="1"/>
    <col min="2" max="2" width="28" customWidth="1"/>
    <col min="3" max="3" width="18" customWidth="1"/>
    <col min="4" max="4" width="48" customWidth="1"/>
    <col min="5" max="5" width="50" customWidth="1"/>
    <col min="6" max="6" width="30" customWidth="1"/>
    <col min="7" max="7" width="12" customWidth="1"/>
    <col min="8" max="8" width="11" customWidth="1"/>
    <col min="9" max="9" width="14" customWidth="1"/>
  </cols>
  <sheetData>
    <row r="1" spans="1:11" ht="42.75" customHeight="1">
      <c r="A1" s="3" t="s">
        <v>642</v>
      </c>
      <c r="B1" s="3" t="s">
        <v>643</v>
      </c>
      <c r="C1" s="3" t="s">
        <v>644</v>
      </c>
      <c r="D1" s="3" t="s">
        <v>645</v>
      </c>
      <c r="E1" s="3" t="s">
        <v>646</v>
      </c>
      <c r="F1" s="3" t="s">
        <v>647</v>
      </c>
      <c r="G1" s="3" t="s">
        <v>648</v>
      </c>
      <c r="H1" s="3" t="s">
        <v>526</v>
      </c>
      <c r="I1" s="3" t="s">
        <v>12</v>
      </c>
      <c r="K1" s="12" t="s">
        <v>530</v>
      </c>
    </row>
    <row r="2" spans="1:11" ht="32">
      <c r="A2" s="4">
        <v>1</v>
      </c>
      <c r="B2" s="4" t="s">
        <v>649</v>
      </c>
      <c r="C2" s="4" t="s">
        <v>650</v>
      </c>
      <c r="D2" s="4" t="s">
        <v>651</v>
      </c>
      <c r="E2" s="4" t="s">
        <v>652</v>
      </c>
      <c r="F2" s="4" t="s">
        <v>653</v>
      </c>
      <c r="G2" s="4">
        <v>1</v>
      </c>
      <c r="H2" s="4">
        <v>3</v>
      </c>
      <c r="I2" s="4" t="s">
        <v>26</v>
      </c>
    </row>
    <row r="3" spans="1:11" ht="32">
      <c r="A3" s="4">
        <v>2</v>
      </c>
      <c r="B3" s="4" t="s">
        <v>654</v>
      </c>
      <c r="C3" s="4" t="s">
        <v>546</v>
      </c>
      <c r="D3" s="4" t="s">
        <v>655</v>
      </c>
      <c r="E3" s="4" t="s">
        <v>656</v>
      </c>
      <c r="F3" s="4" t="s">
        <v>657</v>
      </c>
      <c r="G3" s="4">
        <v>3</v>
      </c>
      <c r="H3" s="4">
        <v>4</v>
      </c>
      <c r="I3" s="4" t="s">
        <v>26</v>
      </c>
    </row>
    <row r="4" spans="1:11" ht="32">
      <c r="A4" s="4">
        <v>3</v>
      </c>
      <c r="B4" s="4" t="s">
        <v>658</v>
      </c>
      <c r="C4" s="4" t="s">
        <v>659</v>
      </c>
      <c r="D4" s="4" t="s">
        <v>660</v>
      </c>
      <c r="E4" s="4" t="s">
        <v>661</v>
      </c>
      <c r="F4" s="4" t="s">
        <v>662</v>
      </c>
      <c r="G4" s="4">
        <v>4</v>
      </c>
      <c r="H4" s="4">
        <v>6</v>
      </c>
      <c r="I4" s="4" t="s">
        <v>26</v>
      </c>
    </row>
    <row r="5" spans="1:11" ht="32">
      <c r="A5" s="4">
        <v>4</v>
      </c>
      <c r="B5" s="4" t="s">
        <v>663</v>
      </c>
      <c r="C5" s="4" t="s">
        <v>664</v>
      </c>
      <c r="D5" s="4" t="s">
        <v>665</v>
      </c>
      <c r="E5" s="4" t="s">
        <v>666</v>
      </c>
      <c r="F5" s="4" t="s">
        <v>667</v>
      </c>
      <c r="G5" s="4">
        <v>5</v>
      </c>
      <c r="H5" s="4">
        <v>5</v>
      </c>
      <c r="I5" s="4" t="s">
        <v>26</v>
      </c>
    </row>
    <row r="6" spans="1:11" ht="32">
      <c r="A6" s="4">
        <v>5</v>
      </c>
      <c r="B6" s="4" t="s">
        <v>668</v>
      </c>
      <c r="C6" s="4" t="s">
        <v>568</v>
      </c>
      <c r="D6" s="4" t="s">
        <v>669</v>
      </c>
      <c r="E6" s="4" t="s">
        <v>670</v>
      </c>
      <c r="F6" s="4" t="s">
        <v>671</v>
      </c>
      <c r="G6" s="4">
        <v>6</v>
      </c>
      <c r="H6" s="4">
        <v>6</v>
      </c>
      <c r="I6" s="4" t="s">
        <v>26</v>
      </c>
    </row>
    <row r="7" spans="1:11" ht="32">
      <c r="A7" s="4">
        <v>6</v>
      </c>
      <c r="B7" s="4" t="s">
        <v>672</v>
      </c>
      <c r="C7" s="4" t="s">
        <v>673</v>
      </c>
      <c r="D7" s="4" t="s">
        <v>674</v>
      </c>
      <c r="E7" s="4" t="s">
        <v>675</v>
      </c>
      <c r="F7" s="4" t="s">
        <v>676</v>
      </c>
      <c r="G7" s="4">
        <v>6</v>
      </c>
      <c r="H7" s="4">
        <v>8</v>
      </c>
      <c r="I7" s="4" t="s">
        <v>26</v>
      </c>
    </row>
    <row r="8" spans="1:11" ht="32">
      <c r="A8" s="4">
        <v>7</v>
      </c>
      <c r="B8" s="4" t="s">
        <v>677</v>
      </c>
      <c r="C8" s="4" t="s">
        <v>678</v>
      </c>
      <c r="D8" s="4" t="s">
        <v>679</v>
      </c>
      <c r="E8" s="4" t="s">
        <v>680</v>
      </c>
      <c r="F8" s="4" t="s">
        <v>681</v>
      </c>
      <c r="G8" s="4">
        <v>7</v>
      </c>
      <c r="H8" s="4">
        <v>10</v>
      </c>
      <c r="I8" s="4" t="s">
        <v>26</v>
      </c>
    </row>
    <row r="9" spans="1:11" ht="32">
      <c r="A9" s="4">
        <v>8</v>
      </c>
      <c r="B9" s="4" t="s">
        <v>682</v>
      </c>
      <c r="C9" s="4" t="s">
        <v>683</v>
      </c>
      <c r="D9" s="4" t="s">
        <v>684</v>
      </c>
      <c r="E9" s="4" t="s">
        <v>685</v>
      </c>
      <c r="F9" s="4" t="s">
        <v>686</v>
      </c>
      <c r="G9" s="4">
        <v>8</v>
      </c>
      <c r="H9" s="4">
        <v>6</v>
      </c>
      <c r="I9" s="4" t="s">
        <v>26</v>
      </c>
    </row>
    <row r="10" spans="1:11" ht="32">
      <c r="A10" s="4">
        <v>9</v>
      </c>
      <c r="B10" s="4" t="s">
        <v>687</v>
      </c>
      <c r="C10" s="4" t="s">
        <v>688</v>
      </c>
      <c r="D10" s="4" t="s">
        <v>689</v>
      </c>
      <c r="E10" s="4" t="s">
        <v>690</v>
      </c>
      <c r="F10" s="4" t="s">
        <v>691</v>
      </c>
      <c r="G10" s="4">
        <v>9</v>
      </c>
      <c r="H10" s="4">
        <v>12</v>
      </c>
      <c r="I10" s="4" t="s">
        <v>26</v>
      </c>
    </row>
    <row r="11" spans="1:11" ht="32">
      <c r="A11" s="4">
        <v>10</v>
      </c>
      <c r="B11" s="4" t="s">
        <v>692</v>
      </c>
      <c r="C11" s="4" t="s">
        <v>693</v>
      </c>
      <c r="D11" s="4" t="s">
        <v>694</v>
      </c>
      <c r="E11" s="4" t="s">
        <v>695</v>
      </c>
      <c r="F11" s="4" t="s">
        <v>696</v>
      </c>
      <c r="G11" s="4">
        <v>10</v>
      </c>
      <c r="H11" s="4">
        <v>6</v>
      </c>
      <c r="I11" s="4" t="s">
        <v>26</v>
      </c>
    </row>
    <row r="12" spans="1:11" ht="32">
      <c r="A12" s="4">
        <v>11</v>
      </c>
      <c r="B12" s="4" t="s">
        <v>697</v>
      </c>
      <c r="C12" s="4" t="s">
        <v>698</v>
      </c>
      <c r="D12" s="4" t="s">
        <v>699</v>
      </c>
      <c r="E12" s="4" t="s">
        <v>700</v>
      </c>
      <c r="F12" s="4" t="s">
        <v>701</v>
      </c>
      <c r="G12" s="4">
        <v>11</v>
      </c>
      <c r="H12" s="4">
        <v>8</v>
      </c>
      <c r="I12" s="4" t="s">
        <v>26</v>
      </c>
    </row>
    <row r="13" spans="1:11" ht="32">
      <c r="A13" s="4">
        <v>12</v>
      </c>
      <c r="B13" s="4" t="s">
        <v>702</v>
      </c>
      <c r="C13" s="4" t="s">
        <v>703</v>
      </c>
      <c r="D13" s="4" t="s">
        <v>704</v>
      </c>
      <c r="E13" s="4" t="s">
        <v>705</v>
      </c>
      <c r="F13" s="4" t="s">
        <v>706</v>
      </c>
      <c r="G13" s="4">
        <v>12</v>
      </c>
      <c r="H13" s="4">
        <v>10</v>
      </c>
      <c r="I13" s="4" t="s">
        <v>26</v>
      </c>
    </row>
    <row r="14" spans="1:11" ht="16">
      <c r="A14" s="4">
        <v>13</v>
      </c>
      <c r="B14" s="4" t="s">
        <v>707</v>
      </c>
      <c r="C14" s="4" t="s">
        <v>708</v>
      </c>
      <c r="D14" s="4" t="s">
        <v>709</v>
      </c>
      <c r="E14" s="4" t="s">
        <v>710</v>
      </c>
      <c r="F14" s="4" t="s">
        <v>711</v>
      </c>
      <c r="G14" s="4">
        <v>14</v>
      </c>
      <c r="H14" s="4">
        <v>5</v>
      </c>
      <c r="I14" s="4" t="s">
        <v>26</v>
      </c>
    </row>
    <row r="15" spans="1:11" ht="32">
      <c r="A15" s="4">
        <v>14</v>
      </c>
      <c r="B15" s="4" t="s">
        <v>712</v>
      </c>
      <c r="C15" s="4" t="s">
        <v>713</v>
      </c>
      <c r="D15" s="4" t="s">
        <v>714</v>
      </c>
      <c r="E15" s="4" t="s">
        <v>715</v>
      </c>
      <c r="F15" s="4" t="s">
        <v>716</v>
      </c>
      <c r="G15" s="4">
        <v>18</v>
      </c>
      <c r="H15" s="4">
        <v>12</v>
      </c>
      <c r="I15" s="4" t="s">
        <v>26</v>
      </c>
    </row>
    <row r="16" spans="1:11" ht="64">
      <c r="A16" s="4">
        <v>15</v>
      </c>
      <c r="B16" s="4" t="s">
        <v>717</v>
      </c>
      <c r="C16" s="4" t="s">
        <v>718</v>
      </c>
      <c r="D16" s="4" t="s">
        <v>719</v>
      </c>
      <c r="E16" s="4" t="s">
        <v>720</v>
      </c>
      <c r="F16" s="4" t="s">
        <v>721</v>
      </c>
      <c r="G16" s="4">
        <v>20</v>
      </c>
      <c r="H16" s="4">
        <v>20</v>
      </c>
      <c r="I16" s="4" t="s">
        <v>26</v>
      </c>
    </row>
    <row r="17" spans="1:9" ht="32">
      <c r="A17" s="4">
        <v>16</v>
      </c>
      <c r="B17" s="4" t="s">
        <v>722</v>
      </c>
      <c r="C17" s="4" t="s">
        <v>723</v>
      </c>
      <c r="D17" s="4" t="s">
        <v>724</v>
      </c>
      <c r="E17" s="4" t="s">
        <v>725</v>
      </c>
      <c r="F17" s="4" t="s">
        <v>726</v>
      </c>
      <c r="G17" s="4">
        <v>20</v>
      </c>
      <c r="H17" s="4">
        <v>4</v>
      </c>
      <c r="I17" s="4" t="s">
        <v>26</v>
      </c>
    </row>
    <row r="18" spans="1:9" ht="48">
      <c r="A18" s="4">
        <v>17</v>
      </c>
      <c r="B18" s="4" t="s">
        <v>727</v>
      </c>
      <c r="C18" s="4" t="s">
        <v>728</v>
      </c>
      <c r="D18" s="4" t="s">
        <v>729</v>
      </c>
      <c r="E18" s="4" t="s">
        <v>730</v>
      </c>
      <c r="F18" s="4" t="s">
        <v>731</v>
      </c>
      <c r="G18" s="4" t="s">
        <v>20</v>
      </c>
      <c r="H18" s="4">
        <v>10</v>
      </c>
      <c r="I18" s="4" t="s">
        <v>26</v>
      </c>
    </row>
    <row r="19" spans="1:9" ht="48">
      <c r="A19" s="4">
        <v>18</v>
      </c>
      <c r="B19" s="4" t="s">
        <v>732</v>
      </c>
      <c r="C19" s="4" t="s">
        <v>733</v>
      </c>
      <c r="D19" s="4" t="s">
        <v>734</v>
      </c>
      <c r="E19" s="4" t="s">
        <v>735</v>
      </c>
      <c r="F19" s="4" t="s">
        <v>736</v>
      </c>
      <c r="G19" s="4" t="s">
        <v>20</v>
      </c>
      <c r="H19" s="4">
        <v>12</v>
      </c>
      <c r="I19" s="4" t="s">
        <v>26</v>
      </c>
    </row>
    <row r="20" spans="1:9">
      <c r="A20" s="4"/>
      <c r="B20" s="4"/>
      <c r="C20" s="4"/>
      <c r="D20" s="4"/>
      <c r="E20" s="4"/>
      <c r="F20" s="4"/>
      <c r="G20" s="4"/>
      <c r="H20" s="4"/>
      <c r="I20" s="4"/>
    </row>
    <row r="21" spans="1:9">
      <c r="A21" s="4"/>
      <c r="B21" s="4"/>
      <c r="C21" s="4"/>
      <c r="D21" s="4"/>
      <c r="E21" s="4"/>
      <c r="F21" s="4"/>
      <c r="G21" s="4"/>
      <c r="H21" s="4"/>
      <c r="I21" s="4"/>
    </row>
    <row r="22" spans="1:9">
      <c r="A22" s="4"/>
      <c r="B22" s="4"/>
      <c r="C22" s="4"/>
      <c r="D22" s="4"/>
      <c r="E22" s="4"/>
      <c r="F22" s="4"/>
      <c r="G22" s="4"/>
      <c r="H22" s="4"/>
      <c r="I22" s="4"/>
    </row>
    <row r="23" spans="1:9">
      <c r="A23" s="4"/>
      <c r="B23" s="4"/>
      <c r="C23" s="4"/>
      <c r="D23" s="4"/>
      <c r="E23" s="4"/>
      <c r="F23" s="4"/>
      <c r="G23" s="4"/>
      <c r="H23" s="4"/>
      <c r="I23" s="4"/>
    </row>
    <row r="24" spans="1:9">
      <c r="A24" s="4"/>
      <c r="B24" s="4"/>
      <c r="C24" s="4"/>
      <c r="D24" s="4"/>
      <c r="E24" s="4"/>
      <c r="F24" s="4"/>
      <c r="G24" s="4"/>
      <c r="H24" s="4"/>
      <c r="I24" s="4"/>
    </row>
    <row r="25" spans="1:9">
      <c r="A25" s="4"/>
      <c r="B25" s="4"/>
      <c r="C25" s="4"/>
      <c r="D25" s="4"/>
      <c r="E25" s="4"/>
      <c r="F25" s="4"/>
      <c r="G25" s="4"/>
      <c r="H25" s="4"/>
      <c r="I25" s="4"/>
    </row>
    <row r="26" spans="1:9">
      <c r="A26" s="4"/>
      <c r="B26" s="4"/>
      <c r="C26" s="4"/>
      <c r="D26" s="4"/>
      <c r="E26" s="4"/>
      <c r="F26" s="4"/>
      <c r="G26" s="4"/>
      <c r="H26" s="4"/>
      <c r="I26" s="4"/>
    </row>
    <row r="27" spans="1:9">
      <c r="A27" s="4"/>
      <c r="B27" s="4"/>
      <c r="C27" s="4"/>
      <c r="D27" s="4"/>
      <c r="E27" s="4"/>
      <c r="F27" s="4"/>
      <c r="G27" s="4"/>
      <c r="H27" s="4"/>
      <c r="I27" s="4"/>
    </row>
    <row r="28" spans="1:9">
      <c r="A28" s="4"/>
      <c r="B28" s="4"/>
      <c r="C28" s="4"/>
      <c r="D28" s="4"/>
      <c r="E28" s="4"/>
      <c r="F28" s="4"/>
      <c r="G28" s="4"/>
      <c r="H28" s="4"/>
      <c r="I28" s="4"/>
    </row>
    <row r="29" spans="1:9">
      <c r="A29" s="4"/>
      <c r="B29" s="4"/>
      <c r="C29" s="4"/>
      <c r="D29" s="4"/>
      <c r="E29" s="4"/>
      <c r="F29" s="4"/>
      <c r="G29" s="4"/>
      <c r="H29" s="4"/>
      <c r="I29" s="4"/>
    </row>
    <row r="30" spans="1:9">
      <c r="A30" s="4"/>
      <c r="B30" s="4"/>
      <c r="C30" s="4"/>
      <c r="D30" s="4"/>
      <c r="E30" s="4"/>
      <c r="F30" s="4"/>
      <c r="G30" s="4"/>
      <c r="H30" s="4"/>
      <c r="I30" s="4"/>
    </row>
  </sheetData>
  <conditionalFormatting sqref="I2:I50">
    <cfRule type="expression" dxfId="10" priority="1">
      <formula>I2="Done"</formula>
    </cfRule>
    <cfRule type="expression" dxfId="9" priority="2">
      <formula>I2="In Progress"</formula>
    </cfRule>
  </conditionalFormatting>
  <dataValidations count="1">
    <dataValidation type="list" sqref="I2:I50" xr:uid="{00000000-0002-0000-0300-000000000000}">
      <formula1>"Not Started,In Progress,Done,Skipped"</formula1>
    </dataValidation>
  </dataValidations>
  <hyperlinks>
    <hyperlink ref="K1" location="'Master Plan'!A1" display="Back to Master Plan" xr:uid="{00000000-0004-0000-0300-000000000000}"/>
  </hyperlink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63"/>
  <sheetViews>
    <sheetView workbookViewId="0">
      <selection activeCell="A2" sqref="A2"/>
    </sheetView>
  </sheetViews>
  <sheetFormatPr baseColWidth="10" defaultColWidth="8.83203125" defaultRowHeight="15"/>
  <cols>
    <col min="1" max="1" width="24" customWidth="1"/>
    <col min="2" max="2" width="48" customWidth="1"/>
    <col min="3" max="3" width="24" customWidth="1"/>
    <col min="4" max="4" width="20" customWidth="1"/>
    <col min="5" max="5" width="16" customWidth="1"/>
    <col min="6" max="6" width="62" customWidth="1"/>
    <col min="7" max="7" width="22" customWidth="1"/>
    <col min="8" max="8" width="20" customWidth="1"/>
    <col min="9" max="9" width="16" customWidth="1"/>
    <col min="10" max="10" width="52" customWidth="1"/>
  </cols>
  <sheetData>
    <row r="1" spans="1:10" ht="42.75" customHeight="1">
      <c r="A1" s="24" t="s">
        <v>4</v>
      </c>
      <c r="B1" s="24" t="s">
        <v>524</v>
      </c>
      <c r="C1" s="24" t="s">
        <v>737</v>
      </c>
      <c r="D1" s="24" t="s">
        <v>738</v>
      </c>
      <c r="E1" s="24" t="s">
        <v>739</v>
      </c>
      <c r="F1" s="24" t="s">
        <v>740</v>
      </c>
      <c r="G1" s="24" t="s">
        <v>530</v>
      </c>
      <c r="H1" s="24" t="s">
        <v>741</v>
      </c>
      <c r="I1" s="24" t="s">
        <v>742</v>
      </c>
      <c r="J1" s="24" t="s">
        <v>743</v>
      </c>
    </row>
    <row r="2" spans="1:10" ht="32">
      <c r="A2" s="1" t="s">
        <v>19</v>
      </c>
      <c r="B2" s="1" t="s">
        <v>744</v>
      </c>
      <c r="C2" s="1" t="s">
        <v>566</v>
      </c>
      <c r="D2" s="1" t="s">
        <v>745</v>
      </c>
      <c r="E2" s="22" t="s">
        <v>25</v>
      </c>
      <c r="F2" s="8" t="s">
        <v>746</v>
      </c>
      <c r="G2" s="1"/>
      <c r="H2" s="16" t="s">
        <v>747</v>
      </c>
      <c r="I2" s="16">
        <v>46270</v>
      </c>
      <c r="J2" s="1" t="s">
        <v>748</v>
      </c>
    </row>
    <row r="3" spans="1:10" ht="32">
      <c r="A3" s="1" t="s">
        <v>19</v>
      </c>
      <c r="B3" s="1" t="s">
        <v>749</v>
      </c>
      <c r="C3" s="1" t="s">
        <v>532</v>
      </c>
      <c r="D3" s="1" t="s">
        <v>745</v>
      </c>
      <c r="E3" s="22" t="s">
        <v>25</v>
      </c>
      <c r="F3" s="8" t="s">
        <v>533</v>
      </c>
      <c r="G3" s="1"/>
      <c r="H3" s="16" t="s">
        <v>747</v>
      </c>
      <c r="I3" s="16">
        <v>46270</v>
      </c>
      <c r="J3" s="1" t="s">
        <v>748</v>
      </c>
    </row>
    <row r="4" spans="1:10" ht="32">
      <c r="A4" s="1" t="s">
        <v>19</v>
      </c>
      <c r="B4" s="1" t="s">
        <v>29</v>
      </c>
      <c r="C4" s="1" t="s">
        <v>535</v>
      </c>
      <c r="D4" s="1" t="s">
        <v>745</v>
      </c>
      <c r="E4" s="22" t="s">
        <v>25</v>
      </c>
      <c r="F4" s="8" t="s">
        <v>536</v>
      </c>
      <c r="G4" s="1"/>
      <c r="H4" s="16" t="s">
        <v>747</v>
      </c>
      <c r="I4" s="16">
        <v>46270</v>
      </c>
      <c r="J4" s="1" t="s">
        <v>748</v>
      </c>
    </row>
    <row r="5" spans="1:10" ht="32">
      <c r="A5" s="1" t="s">
        <v>19</v>
      </c>
      <c r="B5" s="1" t="s">
        <v>165</v>
      </c>
      <c r="C5" s="1" t="s">
        <v>566</v>
      </c>
      <c r="D5" s="1" t="s">
        <v>745</v>
      </c>
      <c r="E5" s="22" t="s">
        <v>25</v>
      </c>
      <c r="F5" s="8" t="s">
        <v>567</v>
      </c>
      <c r="G5" s="1"/>
      <c r="H5" s="16" t="s">
        <v>747</v>
      </c>
      <c r="I5" s="16">
        <v>46270</v>
      </c>
      <c r="J5" s="1" t="s">
        <v>748</v>
      </c>
    </row>
    <row r="6" spans="1:10" ht="32">
      <c r="A6" s="1" t="s">
        <v>19</v>
      </c>
      <c r="B6" s="1" t="s">
        <v>750</v>
      </c>
      <c r="C6" s="1" t="s">
        <v>532</v>
      </c>
      <c r="D6" s="1" t="s">
        <v>745</v>
      </c>
      <c r="E6" s="22" t="s">
        <v>25</v>
      </c>
      <c r="F6" s="8" t="s">
        <v>751</v>
      </c>
      <c r="G6" s="1"/>
      <c r="H6" s="16" t="s">
        <v>747</v>
      </c>
      <c r="I6" s="16">
        <v>46270</v>
      </c>
      <c r="J6" s="1" t="s">
        <v>752</v>
      </c>
    </row>
    <row r="7" spans="1:10" ht="32">
      <c r="A7" s="1" t="s">
        <v>19</v>
      </c>
      <c r="B7" s="1" t="s">
        <v>288</v>
      </c>
      <c r="C7" s="1" t="s">
        <v>566</v>
      </c>
      <c r="D7" s="1" t="s">
        <v>745</v>
      </c>
      <c r="E7" s="22" t="s">
        <v>25</v>
      </c>
      <c r="F7" s="8" t="s">
        <v>598</v>
      </c>
      <c r="G7" s="1"/>
      <c r="H7" s="16" t="s">
        <v>747</v>
      </c>
      <c r="I7" s="16">
        <v>46270</v>
      </c>
      <c r="J7" s="1" t="s">
        <v>748</v>
      </c>
    </row>
    <row r="8" spans="1:10" ht="32">
      <c r="A8" s="1" t="s">
        <v>19</v>
      </c>
      <c r="B8" s="1" t="s">
        <v>318</v>
      </c>
      <c r="C8" s="1" t="s">
        <v>603</v>
      </c>
      <c r="D8" s="1" t="s">
        <v>745</v>
      </c>
      <c r="E8" s="22" t="s">
        <v>25</v>
      </c>
      <c r="F8" s="8" t="s">
        <v>604</v>
      </c>
      <c r="G8" s="1"/>
      <c r="H8" s="16" t="s">
        <v>747</v>
      </c>
      <c r="I8" s="16">
        <v>46270</v>
      </c>
      <c r="J8" s="1" t="s">
        <v>748</v>
      </c>
    </row>
    <row r="9" spans="1:10" ht="32">
      <c r="A9" s="1" t="s">
        <v>35</v>
      </c>
      <c r="B9" s="1" t="s">
        <v>753</v>
      </c>
      <c r="C9" s="1" t="s">
        <v>538</v>
      </c>
      <c r="D9" s="1" t="s">
        <v>745</v>
      </c>
      <c r="E9" s="22" t="s">
        <v>25</v>
      </c>
      <c r="F9" s="8" t="s">
        <v>539</v>
      </c>
      <c r="G9" s="1"/>
      <c r="H9" s="16" t="s">
        <v>747</v>
      </c>
      <c r="I9" s="16">
        <v>46270</v>
      </c>
      <c r="J9" s="1" t="s">
        <v>754</v>
      </c>
    </row>
    <row r="10" spans="1:10" ht="32">
      <c r="A10" s="1" t="s">
        <v>35</v>
      </c>
      <c r="B10" s="1" t="s">
        <v>79</v>
      </c>
      <c r="C10" s="1" t="s">
        <v>538</v>
      </c>
      <c r="D10" s="1" t="s">
        <v>745</v>
      </c>
      <c r="E10" s="22" t="s">
        <v>25</v>
      </c>
      <c r="F10" s="8" t="s">
        <v>547</v>
      </c>
      <c r="G10" s="1"/>
      <c r="H10" s="16" t="s">
        <v>747</v>
      </c>
      <c r="I10" s="16">
        <v>46270</v>
      </c>
      <c r="J10" s="1" t="s">
        <v>754</v>
      </c>
    </row>
    <row r="11" spans="1:10" ht="16">
      <c r="A11" s="1" t="s">
        <v>35</v>
      </c>
      <c r="B11" s="1" t="s">
        <v>125</v>
      </c>
      <c r="C11" s="1" t="s">
        <v>538</v>
      </c>
      <c r="D11" s="1" t="s">
        <v>745</v>
      </c>
      <c r="E11" s="22" t="s">
        <v>25</v>
      </c>
      <c r="F11" s="8" t="s">
        <v>559</v>
      </c>
      <c r="G11" s="1"/>
      <c r="H11" s="16" t="s">
        <v>747</v>
      </c>
      <c r="I11" s="16">
        <v>46270</v>
      </c>
      <c r="J11" s="1" t="s">
        <v>754</v>
      </c>
    </row>
    <row r="12" spans="1:10" ht="16">
      <c r="A12" s="1" t="s">
        <v>35</v>
      </c>
      <c r="B12" s="1" t="s">
        <v>170</v>
      </c>
      <c r="C12" s="1" t="s">
        <v>538</v>
      </c>
      <c r="D12" s="1" t="s">
        <v>745</v>
      </c>
      <c r="E12" s="22" t="s">
        <v>25</v>
      </c>
      <c r="F12" s="8" t="s">
        <v>569</v>
      </c>
      <c r="G12" s="1"/>
      <c r="H12" s="16" t="s">
        <v>747</v>
      </c>
      <c r="I12" s="16">
        <v>46270</v>
      </c>
      <c r="J12" s="1" t="s">
        <v>754</v>
      </c>
    </row>
    <row r="13" spans="1:10" ht="16">
      <c r="A13" s="1" t="s">
        <v>35</v>
      </c>
      <c r="B13" s="1" t="s">
        <v>755</v>
      </c>
      <c r="C13" s="1" t="s">
        <v>538</v>
      </c>
      <c r="D13" s="1" t="s">
        <v>745</v>
      </c>
      <c r="E13" s="22" t="s">
        <v>25</v>
      </c>
      <c r="F13" s="8" t="s">
        <v>573</v>
      </c>
      <c r="G13" s="1"/>
      <c r="H13" s="16" t="s">
        <v>747</v>
      </c>
      <c r="I13" s="16">
        <v>46270</v>
      </c>
      <c r="J13" s="1" t="s">
        <v>754</v>
      </c>
    </row>
    <row r="14" spans="1:10" ht="32">
      <c r="A14" s="1" t="s">
        <v>35</v>
      </c>
      <c r="B14" s="1" t="s">
        <v>756</v>
      </c>
      <c r="C14" s="1" t="s">
        <v>538</v>
      </c>
      <c r="D14" s="1" t="s">
        <v>757</v>
      </c>
      <c r="E14" s="22" t="s">
        <v>25</v>
      </c>
      <c r="F14" s="8" t="s">
        <v>601</v>
      </c>
      <c r="G14" s="1"/>
      <c r="H14" s="16" t="s">
        <v>747</v>
      </c>
      <c r="I14" s="16">
        <v>46270</v>
      </c>
      <c r="J14" s="1" t="s">
        <v>754</v>
      </c>
    </row>
    <row r="15" spans="1:10" ht="32">
      <c r="A15" s="1" t="s">
        <v>35</v>
      </c>
      <c r="B15" s="1" t="s">
        <v>758</v>
      </c>
      <c r="C15" s="1" t="s">
        <v>538</v>
      </c>
      <c r="D15" s="1" t="s">
        <v>745</v>
      </c>
      <c r="E15" s="22" t="s">
        <v>25</v>
      </c>
      <c r="F15" s="8" t="s">
        <v>594</v>
      </c>
      <c r="G15" s="1"/>
      <c r="H15" s="16" t="s">
        <v>747</v>
      </c>
      <c r="I15" s="16">
        <v>46270</v>
      </c>
      <c r="J15" s="1" t="s">
        <v>754</v>
      </c>
    </row>
    <row r="16" spans="1:10" ht="16">
      <c r="A16" s="1" t="s">
        <v>329</v>
      </c>
      <c r="B16" s="1" t="s">
        <v>328</v>
      </c>
      <c r="C16" s="1" t="s">
        <v>759</v>
      </c>
      <c r="D16" s="1" t="s">
        <v>757</v>
      </c>
      <c r="E16" s="22" t="s">
        <v>25</v>
      </c>
      <c r="F16" s="8" t="s">
        <v>609</v>
      </c>
      <c r="G16" s="1"/>
      <c r="H16" s="16" t="s">
        <v>747</v>
      </c>
      <c r="I16" s="16">
        <v>46270</v>
      </c>
      <c r="J16" s="1" t="s">
        <v>754</v>
      </c>
    </row>
    <row r="17" spans="1:10" ht="32">
      <c r="A17" s="1" t="s">
        <v>74</v>
      </c>
      <c r="B17" s="1" t="s">
        <v>760</v>
      </c>
      <c r="C17" s="1" t="s">
        <v>761</v>
      </c>
      <c r="D17" s="1" t="s">
        <v>745</v>
      </c>
      <c r="E17" s="22" t="s">
        <v>25</v>
      </c>
      <c r="F17" s="8" t="s">
        <v>545</v>
      </c>
      <c r="G17" s="1"/>
      <c r="H17" s="16" t="s">
        <v>747</v>
      </c>
      <c r="I17" s="16">
        <v>46270</v>
      </c>
      <c r="J17" s="1" t="s">
        <v>754</v>
      </c>
    </row>
    <row r="18" spans="1:10" ht="16">
      <c r="A18" s="1" t="s">
        <v>74</v>
      </c>
      <c r="B18" s="1" t="s">
        <v>762</v>
      </c>
      <c r="C18" s="1" t="s">
        <v>763</v>
      </c>
      <c r="D18" s="1" t="s">
        <v>745</v>
      </c>
      <c r="E18" s="22" t="s">
        <v>25</v>
      </c>
      <c r="F18" s="8" t="s">
        <v>549</v>
      </c>
      <c r="G18" s="1"/>
      <c r="H18" s="16" t="s">
        <v>747</v>
      </c>
      <c r="I18" s="16">
        <v>46270</v>
      </c>
      <c r="J18" s="1" t="s">
        <v>754</v>
      </c>
    </row>
    <row r="19" spans="1:10" ht="16">
      <c r="A19" s="1" t="s">
        <v>764</v>
      </c>
      <c r="B19" s="1" t="s">
        <v>765</v>
      </c>
      <c r="C19" s="1" t="s">
        <v>766</v>
      </c>
      <c r="D19" s="1" t="s">
        <v>745</v>
      </c>
      <c r="E19" s="22" t="s">
        <v>25</v>
      </c>
      <c r="F19" s="8" t="s">
        <v>767</v>
      </c>
      <c r="G19" s="1"/>
      <c r="H19" s="16" t="s">
        <v>747</v>
      </c>
      <c r="I19" s="16">
        <v>46270</v>
      </c>
      <c r="J19" s="1" t="s">
        <v>754</v>
      </c>
    </row>
    <row r="20" spans="1:10" ht="16">
      <c r="A20" s="1" t="s">
        <v>764</v>
      </c>
      <c r="B20" s="1" t="s">
        <v>768</v>
      </c>
      <c r="C20" s="1" t="s">
        <v>551</v>
      </c>
      <c r="D20" s="1" t="s">
        <v>745</v>
      </c>
      <c r="E20" s="22" t="s">
        <v>25</v>
      </c>
      <c r="F20" s="8" t="s">
        <v>769</v>
      </c>
      <c r="G20" s="1"/>
      <c r="H20" s="16" t="s">
        <v>747</v>
      </c>
      <c r="I20" s="16">
        <v>46270</v>
      </c>
      <c r="J20" s="1" t="s">
        <v>754</v>
      </c>
    </row>
    <row r="21" spans="1:10" ht="16">
      <c r="A21" s="1" t="s">
        <v>764</v>
      </c>
      <c r="B21" s="1" t="s">
        <v>770</v>
      </c>
      <c r="C21" s="1" t="s">
        <v>551</v>
      </c>
      <c r="D21" s="1" t="s">
        <v>745</v>
      </c>
      <c r="E21" s="22" t="s">
        <v>25</v>
      </c>
      <c r="F21" s="8" t="s">
        <v>552</v>
      </c>
      <c r="G21" s="1"/>
      <c r="H21" s="16" t="s">
        <v>747</v>
      </c>
      <c r="I21" s="16">
        <v>46270</v>
      </c>
      <c r="J21" s="1" t="s">
        <v>754</v>
      </c>
    </row>
    <row r="22" spans="1:10" ht="32">
      <c r="A22" s="1" t="s">
        <v>764</v>
      </c>
      <c r="B22" s="1" t="s">
        <v>206</v>
      </c>
      <c r="C22" s="1" t="s">
        <v>551</v>
      </c>
      <c r="D22" s="1" t="s">
        <v>745</v>
      </c>
      <c r="E22" s="22" t="s">
        <v>25</v>
      </c>
      <c r="F22" s="8" t="s">
        <v>578</v>
      </c>
      <c r="G22" s="1"/>
      <c r="H22" s="16" t="s">
        <v>747</v>
      </c>
      <c r="I22" s="16">
        <v>46270</v>
      </c>
      <c r="J22" s="1" t="s">
        <v>754</v>
      </c>
    </row>
    <row r="23" spans="1:10" ht="16">
      <c r="A23" s="1" t="s">
        <v>764</v>
      </c>
      <c r="B23" s="1" t="s">
        <v>191</v>
      </c>
      <c r="C23" s="1" t="s">
        <v>551</v>
      </c>
      <c r="D23" s="1" t="s">
        <v>745</v>
      </c>
      <c r="E23" s="22" t="s">
        <v>25</v>
      </c>
      <c r="F23" s="8" t="s">
        <v>575</v>
      </c>
      <c r="G23" s="1"/>
      <c r="H23" s="16" t="s">
        <v>747</v>
      </c>
      <c r="I23" s="16">
        <v>46270</v>
      </c>
      <c r="J23" s="1" t="s">
        <v>754</v>
      </c>
    </row>
    <row r="24" spans="1:10" ht="16">
      <c r="A24" s="1" t="s">
        <v>764</v>
      </c>
      <c r="B24" s="1" t="s">
        <v>232</v>
      </c>
      <c r="C24" s="1" t="s">
        <v>551</v>
      </c>
      <c r="D24" s="1" t="s">
        <v>745</v>
      </c>
      <c r="E24" s="22" t="s">
        <v>25</v>
      </c>
      <c r="F24" s="8" t="s">
        <v>584</v>
      </c>
      <c r="G24" s="1"/>
      <c r="H24" s="16" t="s">
        <v>747</v>
      </c>
      <c r="I24" s="16">
        <v>46270</v>
      </c>
      <c r="J24" s="1" t="s">
        <v>754</v>
      </c>
    </row>
    <row r="25" spans="1:10" ht="16">
      <c r="A25" s="1" t="s">
        <v>764</v>
      </c>
      <c r="B25" s="1" t="s">
        <v>771</v>
      </c>
      <c r="C25" s="1" t="s">
        <v>551</v>
      </c>
      <c r="D25" s="1" t="s">
        <v>745</v>
      </c>
      <c r="E25" s="22" t="s">
        <v>25</v>
      </c>
      <c r="F25" s="8" t="s">
        <v>561</v>
      </c>
      <c r="G25" s="1"/>
      <c r="H25" s="16" t="s">
        <v>747</v>
      </c>
      <c r="I25" s="16">
        <v>46270</v>
      </c>
      <c r="J25" s="1" t="s">
        <v>754</v>
      </c>
    </row>
    <row r="26" spans="1:10" ht="16">
      <c r="A26" s="1" t="s">
        <v>764</v>
      </c>
      <c r="B26" s="1" t="s">
        <v>772</v>
      </c>
      <c r="C26" s="1" t="s">
        <v>551</v>
      </c>
      <c r="D26" s="1" t="s">
        <v>745</v>
      </c>
      <c r="E26" s="22" t="s">
        <v>25</v>
      </c>
      <c r="F26" s="8" t="s">
        <v>611</v>
      </c>
      <c r="G26" s="1"/>
      <c r="H26" s="16" t="s">
        <v>747</v>
      </c>
      <c r="I26" s="16">
        <v>46270</v>
      </c>
      <c r="J26" s="1" t="s">
        <v>754</v>
      </c>
    </row>
    <row r="27" spans="1:10" ht="32">
      <c r="A27" s="1" t="s">
        <v>764</v>
      </c>
      <c r="B27" s="1" t="s">
        <v>356</v>
      </c>
      <c r="C27" s="1" t="s">
        <v>551</v>
      </c>
      <c r="D27" s="1" t="s">
        <v>745</v>
      </c>
      <c r="E27" s="22" t="s">
        <v>25</v>
      </c>
      <c r="F27" s="8" t="s">
        <v>613</v>
      </c>
      <c r="G27" s="1"/>
      <c r="H27" s="16" t="s">
        <v>747</v>
      </c>
      <c r="I27" s="16">
        <v>46270</v>
      </c>
      <c r="J27" s="1" t="s">
        <v>754</v>
      </c>
    </row>
    <row r="28" spans="1:10" ht="16">
      <c r="A28" s="1" t="s">
        <v>764</v>
      </c>
      <c r="B28" s="1" t="s">
        <v>283</v>
      </c>
      <c r="C28" s="1" t="s">
        <v>551</v>
      </c>
      <c r="D28" s="1" t="s">
        <v>745</v>
      </c>
      <c r="E28" s="22" t="s">
        <v>25</v>
      </c>
      <c r="F28" s="8" t="s">
        <v>596</v>
      </c>
      <c r="G28" s="1"/>
      <c r="H28" s="16" t="s">
        <v>747</v>
      </c>
      <c r="I28" s="16">
        <v>46270</v>
      </c>
      <c r="J28" s="1" t="s">
        <v>754</v>
      </c>
    </row>
    <row r="29" spans="1:10" ht="16">
      <c r="A29" s="1" t="s">
        <v>764</v>
      </c>
      <c r="B29" s="1" t="s">
        <v>773</v>
      </c>
      <c r="C29" s="1" t="s">
        <v>551</v>
      </c>
      <c r="D29" s="1" t="s">
        <v>745</v>
      </c>
      <c r="E29" s="22" t="s">
        <v>25</v>
      </c>
      <c r="F29" s="8" t="s">
        <v>627</v>
      </c>
      <c r="G29" s="1"/>
      <c r="H29" s="16" t="s">
        <v>747</v>
      </c>
      <c r="I29" s="16">
        <v>46270</v>
      </c>
      <c r="J29" s="1" t="s">
        <v>754</v>
      </c>
    </row>
    <row r="30" spans="1:10" ht="32">
      <c r="A30" s="1" t="s">
        <v>115</v>
      </c>
      <c r="B30" s="1" t="s">
        <v>392</v>
      </c>
      <c r="C30" s="1" t="s">
        <v>774</v>
      </c>
      <c r="D30" s="1" t="s">
        <v>757</v>
      </c>
      <c r="E30" s="22" t="s">
        <v>25</v>
      </c>
      <c r="F30" s="8" t="s">
        <v>625</v>
      </c>
      <c r="G30" s="1"/>
      <c r="H30" s="16" t="s">
        <v>747</v>
      </c>
      <c r="I30" s="16">
        <v>46270</v>
      </c>
      <c r="J30" s="1" t="s">
        <v>775</v>
      </c>
    </row>
    <row r="31" spans="1:10" ht="32">
      <c r="A31" s="1" t="s">
        <v>115</v>
      </c>
      <c r="B31" s="1" t="s">
        <v>776</v>
      </c>
      <c r="C31" s="1" t="s">
        <v>777</v>
      </c>
      <c r="D31" s="1" t="s">
        <v>757</v>
      </c>
      <c r="E31" s="22" t="s">
        <v>25</v>
      </c>
      <c r="F31" s="8" t="s">
        <v>556</v>
      </c>
      <c r="G31" s="1"/>
      <c r="H31" s="16" t="s">
        <v>747</v>
      </c>
      <c r="I31" s="16">
        <v>46270</v>
      </c>
      <c r="J31" s="1" t="s">
        <v>775</v>
      </c>
    </row>
    <row r="32" spans="1:10" ht="32">
      <c r="A32" s="1" t="s">
        <v>115</v>
      </c>
      <c r="B32" s="1" t="s">
        <v>778</v>
      </c>
      <c r="C32" s="1" t="s">
        <v>779</v>
      </c>
      <c r="D32" s="1" t="s">
        <v>757</v>
      </c>
      <c r="E32" s="22" t="s">
        <v>25</v>
      </c>
      <c r="F32" s="8" t="s">
        <v>571</v>
      </c>
      <c r="G32" s="1"/>
      <c r="H32" s="16" t="s">
        <v>747</v>
      </c>
      <c r="I32" s="16">
        <v>46270</v>
      </c>
      <c r="J32" s="1" t="s">
        <v>775</v>
      </c>
    </row>
    <row r="33" spans="1:10" ht="32">
      <c r="A33" s="1" t="s">
        <v>115</v>
      </c>
      <c r="B33" s="1" t="s">
        <v>227</v>
      </c>
      <c r="C33" s="1" t="s">
        <v>780</v>
      </c>
      <c r="D33" s="1" t="s">
        <v>745</v>
      </c>
      <c r="E33" s="22" t="s">
        <v>25</v>
      </c>
      <c r="F33" s="8" t="s">
        <v>582</v>
      </c>
      <c r="G33" s="1"/>
      <c r="H33" s="16" t="s">
        <v>747</v>
      </c>
      <c r="I33" s="16">
        <v>46270</v>
      </c>
      <c r="J33" s="1" t="s">
        <v>775</v>
      </c>
    </row>
    <row r="34" spans="1:10" ht="32">
      <c r="A34" s="1" t="s">
        <v>115</v>
      </c>
      <c r="B34" s="1" t="s">
        <v>247</v>
      </c>
      <c r="C34" s="1" t="s">
        <v>781</v>
      </c>
      <c r="D34" s="1" t="s">
        <v>757</v>
      </c>
      <c r="E34" s="22" t="s">
        <v>25</v>
      </c>
      <c r="F34" s="8" t="s">
        <v>587</v>
      </c>
      <c r="G34" s="1"/>
      <c r="H34" s="16" t="s">
        <v>747</v>
      </c>
      <c r="I34" s="16">
        <v>46270</v>
      </c>
      <c r="J34" s="1" t="s">
        <v>775</v>
      </c>
    </row>
    <row r="35" spans="1:10" ht="32">
      <c r="A35" s="1" t="s">
        <v>115</v>
      </c>
      <c r="B35" s="1" t="s">
        <v>252</v>
      </c>
      <c r="C35" s="1" t="s">
        <v>782</v>
      </c>
      <c r="D35" s="1" t="s">
        <v>745</v>
      </c>
      <c r="E35" s="22" t="s">
        <v>25</v>
      </c>
      <c r="F35" s="8" t="s">
        <v>589</v>
      </c>
      <c r="G35" s="1"/>
      <c r="H35" s="16" t="s">
        <v>747</v>
      </c>
      <c r="I35" s="16">
        <v>46270</v>
      </c>
      <c r="J35" s="1" t="s">
        <v>775</v>
      </c>
    </row>
    <row r="36" spans="1:10" ht="32">
      <c r="A36" s="1" t="s">
        <v>372</v>
      </c>
      <c r="B36" s="1" t="s">
        <v>783</v>
      </c>
      <c r="C36" s="1" t="s">
        <v>784</v>
      </c>
      <c r="D36" s="1" t="s">
        <v>757</v>
      </c>
      <c r="E36" s="22" t="s">
        <v>25</v>
      </c>
      <c r="F36" s="8" t="s">
        <v>621</v>
      </c>
      <c r="G36" s="1"/>
      <c r="H36" s="16" t="s">
        <v>747</v>
      </c>
      <c r="I36" s="16">
        <v>46270</v>
      </c>
      <c r="J36" s="1" t="s">
        <v>775</v>
      </c>
    </row>
    <row r="37" spans="1:10" ht="32">
      <c r="A37" s="1" t="s">
        <v>372</v>
      </c>
      <c r="B37" s="1" t="s">
        <v>785</v>
      </c>
      <c r="C37" s="1" t="s">
        <v>786</v>
      </c>
      <c r="D37" s="1" t="s">
        <v>757</v>
      </c>
      <c r="E37" s="22" t="s">
        <v>25</v>
      </c>
      <c r="F37" s="8" t="s">
        <v>623</v>
      </c>
      <c r="G37" s="1"/>
      <c r="H37" s="16" t="s">
        <v>747</v>
      </c>
      <c r="I37" s="16">
        <v>46270</v>
      </c>
      <c r="J37" s="1" t="s">
        <v>775</v>
      </c>
    </row>
    <row r="38" spans="1:10" ht="32">
      <c r="A38" s="1" t="s">
        <v>372</v>
      </c>
      <c r="B38" s="1" t="s">
        <v>787</v>
      </c>
      <c r="C38" s="1" t="s">
        <v>788</v>
      </c>
      <c r="D38" s="1" t="s">
        <v>789</v>
      </c>
      <c r="E38" s="22" t="s">
        <v>25</v>
      </c>
      <c r="F38" s="8" t="s">
        <v>790</v>
      </c>
      <c r="G38" s="1"/>
      <c r="H38" s="16" t="s">
        <v>747</v>
      </c>
      <c r="I38" s="16">
        <v>46270</v>
      </c>
      <c r="J38" s="1" t="s">
        <v>775</v>
      </c>
    </row>
    <row r="39" spans="1:10" ht="16">
      <c r="A39" s="1" t="s">
        <v>791</v>
      </c>
      <c r="B39" s="1" t="s">
        <v>40</v>
      </c>
      <c r="C39" s="1" t="s">
        <v>541</v>
      </c>
      <c r="D39" s="1" t="s">
        <v>757</v>
      </c>
      <c r="E39" s="22" t="s">
        <v>25</v>
      </c>
      <c r="F39" s="8" t="s">
        <v>542</v>
      </c>
      <c r="G39" s="1"/>
      <c r="H39" s="16" t="s">
        <v>747</v>
      </c>
      <c r="I39" s="16">
        <v>46270</v>
      </c>
      <c r="J39" s="1" t="s">
        <v>792</v>
      </c>
    </row>
    <row r="40" spans="1:10" ht="32">
      <c r="A40" s="1" t="s">
        <v>41</v>
      </c>
      <c r="B40" s="1" t="s">
        <v>426</v>
      </c>
      <c r="C40" s="1" t="s">
        <v>541</v>
      </c>
      <c r="D40" s="1" t="s">
        <v>789</v>
      </c>
      <c r="E40" s="22" t="s">
        <v>25</v>
      </c>
      <c r="F40" s="8" t="s">
        <v>631</v>
      </c>
      <c r="G40" s="1"/>
      <c r="H40" s="16" t="s">
        <v>747</v>
      </c>
      <c r="I40" s="16">
        <v>46270</v>
      </c>
      <c r="J40" s="1" t="s">
        <v>792</v>
      </c>
    </row>
    <row r="41" spans="1:10" ht="16">
      <c r="A41" s="1" t="s">
        <v>791</v>
      </c>
      <c r="B41" s="1" t="s">
        <v>793</v>
      </c>
      <c r="C41" s="1" t="s">
        <v>541</v>
      </c>
      <c r="D41" s="1" t="s">
        <v>757</v>
      </c>
      <c r="E41" s="22" t="s">
        <v>25</v>
      </c>
      <c r="F41" s="8" t="s">
        <v>633</v>
      </c>
      <c r="G41" s="1"/>
      <c r="H41" s="16" t="s">
        <v>747</v>
      </c>
      <c r="I41" s="16">
        <v>46270</v>
      </c>
      <c r="J41" s="1" t="s">
        <v>792</v>
      </c>
    </row>
    <row r="42" spans="1:10" ht="16">
      <c r="A42" s="1" t="s">
        <v>96</v>
      </c>
      <c r="B42" s="1" t="s">
        <v>95</v>
      </c>
      <c r="C42" s="1" t="s">
        <v>541</v>
      </c>
      <c r="D42" s="1" t="s">
        <v>745</v>
      </c>
      <c r="E42" s="22" t="s">
        <v>25</v>
      </c>
      <c r="F42" s="8" t="s">
        <v>554</v>
      </c>
      <c r="G42" s="1"/>
      <c r="H42" s="16" t="s">
        <v>747</v>
      </c>
      <c r="I42" s="16">
        <v>46270</v>
      </c>
      <c r="J42" s="1" t="s">
        <v>792</v>
      </c>
    </row>
    <row r="43" spans="1:10" ht="16">
      <c r="A43" s="1" t="s">
        <v>96</v>
      </c>
      <c r="B43" s="1" t="s">
        <v>421</v>
      </c>
      <c r="C43" s="1" t="s">
        <v>541</v>
      </c>
      <c r="D43" s="1" t="s">
        <v>757</v>
      </c>
      <c r="E43" s="22" t="s">
        <v>25</v>
      </c>
      <c r="F43" s="8" t="s">
        <v>629</v>
      </c>
      <c r="G43" s="1"/>
      <c r="H43" s="16" t="s">
        <v>747</v>
      </c>
      <c r="I43" s="16">
        <v>46270</v>
      </c>
      <c r="J43" s="1" t="s">
        <v>792</v>
      </c>
    </row>
    <row r="44" spans="1:10" ht="32">
      <c r="A44" s="1" t="s">
        <v>258</v>
      </c>
      <c r="B44" s="1" t="s">
        <v>257</v>
      </c>
      <c r="C44" s="1" t="s">
        <v>591</v>
      </c>
      <c r="D44" s="1" t="s">
        <v>745</v>
      </c>
      <c r="E44" s="22" t="s">
        <v>25</v>
      </c>
      <c r="F44" s="8" t="s">
        <v>592</v>
      </c>
      <c r="G44" s="1"/>
      <c r="H44" s="16" t="s">
        <v>747</v>
      </c>
      <c r="I44" s="16">
        <v>46270</v>
      </c>
      <c r="J44" s="1" t="s">
        <v>794</v>
      </c>
    </row>
    <row r="45" spans="1:10" ht="32">
      <c r="A45" s="1" t="s">
        <v>258</v>
      </c>
      <c r="B45" s="1" t="s">
        <v>361</v>
      </c>
      <c r="C45" s="1" t="s">
        <v>795</v>
      </c>
      <c r="D45" s="1" t="s">
        <v>745</v>
      </c>
      <c r="E45" s="22" t="s">
        <v>25</v>
      </c>
      <c r="F45" s="8" t="s">
        <v>616</v>
      </c>
      <c r="G45" s="1"/>
      <c r="H45" s="16" t="s">
        <v>747</v>
      </c>
      <c r="I45" s="16">
        <v>46270</v>
      </c>
      <c r="J45" s="1" t="s">
        <v>794</v>
      </c>
    </row>
    <row r="46" spans="1:10" ht="32">
      <c r="A46" s="1" t="s">
        <v>258</v>
      </c>
      <c r="B46" s="1" t="s">
        <v>796</v>
      </c>
      <c r="C46" s="1" t="s">
        <v>591</v>
      </c>
      <c r="D46" s="1" t="s">
        <v>797</v>
      </c>
      <c r="E46" s="22" t="s">
        <v>25</v>
      </c>
      <c r="F46" s="8" t="s">
        <v>798</v>
      </c>
      <c r="G46" s="1"/>
      <c r="H46" s="16" t="s">
        <v>747</v>
      </c>
      <c r="I46" s="16">
        <v>46270</v>
      </c>
      <c r="J46" s="1" t="s">
        <v>794</v>
      </c>
    </row>
    <row r="47" spans="1:10" ht="32">
      <c r="A47" s="1" t="s">
        <v>258</v>
      </c>
      <c r="B47" s="1" t="s">
        <v>799</v>
      </c>
      <c r="C47" s="1" t="s">
        <v>800</v>
      </c>
      <c r="D47" s="1" t="s">
        <v>801</v>
      </c>
      <c r="E47" s="22" t="s">
        <v>25</v>
      </c>
      <c r="F47" s="8" t="s">
        <v>802</v>
      </c>
      <c r="G47" s="1"/>
      <c r="H47" s="16" t="s">
        <v>747</v>
      </c>
      <c r="I47" s="16">
        <v>46270</v>
      </c>
      <c r="J47" s="1" t="s">
        <v>794</v>
      </c>
    </row>
    <row r="48" spans="1:10" ht="16">
      <c r="A48" s="1" t="s">
        <v>341</v>
      </c>
      <c r="B48" s="1" t="s">
        <v>803</v>
      </c>
      <c r="C48" s="1" t="s">
        <v>804</v>
      </c>
      <c r="D48" s="1" t="s">
        <v>745</v>
      </c>
      <c r="E48" s="22" t="s">
        <v>25</v>
      </c>
      <c r="F48" s="8" t="s">
        <v>619</v>
      </c>
      <c r="G48" s="1"/>
      <c r="H48" s="16" t="s">
        <v>747</v>
      </c>
      <c r="I48" s="16">
        <v>46270</v>
      </c>
      <c r="J48" s="1" t="s">
        <v>754</v>
      </c>
    </row>
    <row r="49" spans="1:10" ht="16">
      <c r="A49" s="1" t="s">
        <v>341</v>
      </c>
      <c r="B49" s="1" t="s">
        <v>377</v>
      </c>
      <c r="C49" s="1" t="s">
        <v>805</v>
      </c>
      <c r="D49" s="1" t="s">
        <v>745</v>
      </c>
      <c r="E49" s="22" t="s">
        <v>25</v>
      </c>
      <c r="F49" s="8" t="s">
        <v>806</v>
      </c>
      <c r="G49" s="1"/>
      <c r="H49" s="16" t="s">
        <v>747</v>
      </c>
      <c r="I49" s="16">
        <v>46270</v>
      </c>
      <c r="J49" s="1" t="s">
        <v>754</v>
      </c>
    </row>
    <row r="50" spans="1:10" ht="16">
      <c r="A50" s="1" t="s">
        <v>341</v>
      </c>
      <c r="B50" s="1" t="s">
        <v>807</v>
      </c>
      <c r="C50" s="1" t="s">
        <v>808</v>
      </c>
      <c r="D50" s="1" t="s">
        <v>745</v>
      </c>
      <c r="E50" s="22" t="s">
        <v>25</v>
      </c>
      <c r="F50" s="8" t="s">
        <v>809</v>
      </c>
      <c r="G50" s="1"/>
      <c r="H50" s="16" t="s">
        <v>747</v>
      </c>
      <c r="I50" s="16">
        <v>46270</v>
      </c>
      <c r="J50" s="1" t="s">
        <v>754</v>
      </c>
    </row>
    <row r="51" spans="1:10" ht="16">
      <c r="A51" s="1" t="s">
        <v>341</v>
      </c>
      <c r="B51" s="1" t="s">
        <v>810</v>
      </c>
      <c r="C51" s="1" t="s">
        <v>811</v>
      </c>
      <c r="D51" s="1" t="s">
        <v>745</v>
      </c>
      <c r="E51" s="22" t="s">
        <v>25</v>
      </c>
      <c r="F51" s="8" t="s">
        <v>812</v>
      </c>
      <c r="G51" s="1"/>
      <c r="H51" s="16" t="s">
        <v>747</v>
      </c>
      <c r="I51" s="16">
        <v>46270</v>
      </c>
      <c r="J51" s="1" t="s">
        <v>754</v>
      </c>
    </row>
    <row r="52" spans="1:10" ht="16">
      <c r="A52" s="1" t="s">
        <v>351</v>
      </c>
      <c r="B52" s="1" t="s">
        <v>813</v>
      </c>
      <c r="C52" s="1" t="s">
        <v>814</v>
      </c>
      <c r="D52" s="1" t="s">
        <v>757</v>
      </c>
      <c r="E52" s="22" t="s">
        <v>25</v>
      </c>
      <c r="F52" s="8" t="s">
        <v>815</v>
      </c>
      <c r="G52" s="1"/>
      <c r="H52" s="16" t="s">
        <v>747</v>
      </c>
      <c r="I52" s="16">
        <v>46270</v>
      </c>
      <c r="J52" s="1" t="s">
        <v>754</v>
      </c>
    </row>
    <row r="53" spans="1:10" ht="16">
      <c r="A53" s="1" t="s">
        <v>49</v>
      </c>
      <c r="B53" s="1" t="s">
        <v>48</v>
      </c>
      <c r="C53" s="1" t="s">
        <v>816</v>
      </c>
      <c r="D53" s="1" t="s">
        <v>817</v>
      </c>
      <c r="E53" s="22" t="s">
        <v>25</v>
      </c>
      <c r="F53" s="8" t="s">
        <v>818</v>
      </c>
      <c r="G53" s="1"/>
      <c r="H53" s="16" t="s">
        <v>747</v>
      </c>
      <c r="I53" s="16">
        <v>46270</v>
      </c>
      <c r="J53" s="1" t="s">
        <v>754</v>
      </c>
    </row>
    <row r="54" spans="1:10" ht="16">
      <c r="A54" s="1" t="s">
        <v>49</v>
      </c>
      <c r="B54" s="1" t="s">
        <v>273</v>
      </c>
      <c r="C54" s="1" t="s">
        <v>816</v>
      </c>
      <c r="D54" s="1" t="s">
        <v>819</v>
      </c>
      <c r="E54" s="22" t="s">
        <v>25</v>
      </c>
      <c r="F54" s="8" t="s">
        <v>820</v>
      </c>
      <c r="G54" s="1"/>
      <c r="H54" s="16" t="s">
        <v>747</v>
      </c>
      <c r="I54" s="16">
        <v>46270</v>
      </c>
      <c r="J54" s="1" t="s">
        <v>754</v>
      </c>
    </row>
    <row r="55" spans="1:10" ht="16">
      <c r="A55" s="1" t="s">
        <v>109</v>
      </c>
      <c r="B55" s="1" t="s">
        <v>108</v>
      </c>
      <c r="C55" s="1" t="s">
        <v>821</v>
      </c>
      <c r="D55" s="1" t="s">
        <v>817</v>
      </c>
      <c r="E55" s="22" t="s">
        <v>25</v>
      </c>
      <c r="F55" s="8" t="s">
        <v>822</v>
      </c>
      <c r="G55" s="1"/>
      <c r="H55" s="16" t="s">
        <v>747</v>
      </c>
      <c r="I55" s="16">
        <v>46270</v>
      </c>
      <c r="J55" s="1" t="s">
        <v>754</v>
      </c>
    </row>
    <row r="56" spans="1:10" ht="32">
      <c r="A56" s="1" t="s">
        <v>109</v>
      </c>
      <c r="B56" s="1" t="s">
        <v>217</v>
      </c>
      <c r="C56" s="1" t="s">
        <v>823</v>
      </c>
      <c r="D56" s="1" t="s">
        <v>817</v>
      </c>
      <c r="E56" s="22" t="s">
        <v>25</v>
      </c>
      <c r="F56" s="8" t="s">
        <v>824</v>
      </c>
      <c r="G56" s="1"/>
      <c r="H56" s="16" t="s">
        <v>747</v>
      </c>
      <c r="I56" s="16">
        <v>46270</v>
      </c>
      <c r="J56" s="1" t="s">
        <v>754</v>
      </c>
    </row>
    <row r="57" spans="1:10" ht="16">
      <c r="A57" s="1" t="s">
        <v>109</v>
      </c>
      <c r="B57" s="1" t="s">
        <v>303</v>
      </c>
      <c r="C57" s="1" t="s">
        <v>825</v>
      </c>
      <c r="D57" s="1" t="s">
        <v>757</v>
      </c>
      <c r="E57" s="22" t="s">
        <v>25</v>
      </c>
      <c r="F57" s="8" t="s">
        <v>826</v>
      </c>
      <c r="G57" s="1"/>
      <c r="H57" s="16" t="s">
        <v>747</v>
      </c>
      <c r="I57" s="16">
        <v>46270</v>
      </c>
      <c r="J57" s="1" t="s">
        <v>754</v>
      </c>
    </row>
    <row r="58" spans="1:10" ht="16">
      <c r="A58" s="1" t="s">
        <v>109</v>
      </c>
      <c r="B58" s="1" t="s">
        <v>397</v>
      </c>
      <c r="C58" s="1" t="s">
        <v>827</v>
      </c>
      <c r="D58" s="1" t="s">
        <v>819</v>
      </c>
      <c r="E58" s="22" t="s">
        <v>25</v>
      </c>
      <c r="F58" s="8" t="s">
        <v>828</v>
      </c>
      <c r="G58" s="1"/>
      <c r="H58" s="16" t="s">
        <v>747</v>
      </c>
      <c r="I58" s="16">
        <v>46270</v>
      </c>
      <c r="J58" s="1" t="s">
        <v>754</v>
      </c>
    </row>
    <row r="59" spans="1:10" ht="16">
      <c r="A59" s="1" t="s">
        <v>56</v>
      </c>
      <c r="B59" s="1" t="s">
        <v>829</v>
      </c>
      <c r="C59" s="1" t="s">
        <v>532</v>
      </c>
      <c r="D59" s="1" t="s">
        <v>650</v>
      </c>
      <c r="E59" s="22" t="s">
        <v>25</v>
      </c>
      <c r="F59" s="8" t="s">
        <v>830</v>
      </c>
      <c r="G59" s="1"/>
      <c r="H59" s="16" t="s">
        <v>747</v>
      </c>
      <c r="I59" s="16">
        <v>46270</v>
      </c>
      <c r="J59" s="1" t="s">
        <v>754</v>
      </c>
    </row>
    <row r="60" spans="1:10" ht="32">
      <c r="A60" s="1" t="s">
        <v>56</v>
      </c>
      <c r="B60" s="1" t="s">
        <v>831</v>
      </c>
      <c r="C60" s="1" t="s">
        <v>832</v>
      </c>
      <c r="D60" s="1" t="s">
        <v>833</v>
      </c>
      <c r="E60" s="22" t="s">
        <v>25</v>
      </c>
      <c r="F60" s="8" t="s">
        <v>834</v>
      </c>
      <c r="G60" s="1"/>
      <c r="H60" s="16" t="s">
        <v>747</v>
      </c>
      <c r="I60" s="16">
        <v>46270</v>
      </c>
      <c r="J60" s="1" t="s">
        <v>754</v>
      </c>
    </row>
    <row r="61" spans="1:10" ht="32">
      <c r="A61" s="1" t="s">
        <v>56</v>
      </c>
      <c r="B61" s="1" t="s">
        <v>835</v>
      </c>
      <c r="C61" s="1" t="s">
        <v>532</v>
      </c>
      <c r="D61" s="1" t="s">
        <v>836</v>
      </c>
      <c r="E61" s="22" t="s">
        <v>25</v>
      </c>
      <c r="F61" s="8" t="s">
        <v>837</v>
      </c>
      <c r="G61" s="1"/>
      <c r="H61" s="16" t="s">
        <v>747</v>
      </c>
      <c r="I61" s="16">
        <v>46270</v>
      </c>
      <c r="J61" s="1" t="s">
        <v>754</v>
      </c>
    </row>
    <row r="62" spans="1:10" ht="16">
      <c r="A62" s="1" t="s">
        <v>56</v>
      </c>
      <c r="B62" s="1" t="s">
        <v>838</v>
      </c>
      <c r="C62" s="1" t="s">
        <v>532</v>
      </c>
      <c r="D62" s="1" t="s">
        <v>797</v>
      </c>
      <c r="E62" s="22" t="s">
        <v>25</v>
      </c>
      <c r="F62" s="8" t="s">
        <v>839</v>
      </c>
      <c r="G62" s="1"/>
      <c r="H62" s="16" t="s">
        <v>747</v>
      </c>
      <c r="I62" s="16">
        <v>46270</v>
      </c>
      <c r="J62" s="1" t="s">
        <v>754</v>
      </c>
    </row>
    <row r="63" spans="1:10" ht="32">
      <c r="A63" s="1" t="s">
        <v>68</v>
      </c>
      <c r="B63" s="1" t="s">
        <v>67</v>
      </c>
      <c r="C63" s="1" t="s">
        <v>840</v>
      </c>
      <c r="D63" s="1" t="s">
        <v>841</v>
      </c>
      <c r="E63" s="22" t="s">
        <v>25</v>
      </c>
      <c r="F63" s="8" t="s">
        <v>842</v>
      </c>
      <c r="G63" s="1"/>
      <c r="H63" s="16" t="s">
        <v>747</v>
      </c>
      <c r="I63" s="16">
        <v>46270</v>
      </c>
      <c r="J63" s="1" t="s">
        <v>754</v>
      </c>
    </row>
  </sheetData>
  <conditionalFormatting sqref="G2:H63">
    <cfRule type="expression" dxfId="8" priority="1">
      <formula>LEFT(G2,8)="Verified"</formula>
    </cfRule>
  </conditionalFormatting>
  <hyperlinks>
    <hyperlink ref="G1" location="'Master Plan'!A1" display="Back to Master Plan" xr:uid="{00000000-0004-0000-0400-000000000000}"/>
    <hyperlink ref="E2" r:id="rId1" xr:uid="{00000000-0004-0000-0400-000001000000}"/>
    <hyperlink ref="E3" r:id="rId2" xr:uid="{00000000-0004-0000-0400-000002000000}"/>
    <hyperlink ref="E4" r:id="rId3" xr:uid="{00000000-0004-0000-0400-000003000000}"/>
    <hyperlink ref="E5" r:id="rId4" xr:uid="{00000000-0004-0000-0400-000004000000}"/>
    <hyperlink ref="E6" r:id="rId5" xr:uid="{00000000-0004-0000-0400-000005000000}"/>
    <hyperlink ref="E7" r:id="rId6" xr:uid="{00000000-0004-0000-0400-000006000000}"/>
    <hyperlink ref="E8" r:id="rId7" xr:uid="{00000000-0004-0000-0400-000007000000}"/>
    <hyperlink ref="E9" r:id="rId8" xr:uid="{00000000-0004-0000-0400-000008000000}"/>
    <hyperlink ref="E10" r:id="rId9" xr:uid="{00000000-0004-0000-0400-000009000000}"/>
    <hyperlink ref="E11" r:id="rId10" xr:uid="{00000000-0004-0000-0400-00000A000000}"/>
    <hyperlink ref="E12" r:id="rId11" xr:uid="{00000000-0004-0000-0400-00000B000000}"/>
    <hyperlink ref="E13" r:id="rId12" xr:uid="{00000000-0004-0000-0400-00000C000000}"/>
    <hyperlink ref="E14" r:id="rId13" xr:uid="{00000000-0004-0000-0400-00000D000000}"/>
    <hyperlink ref="E15" r:id="rId14" xr:uid="{00000000-0004-0000-0400-00000E000000}"/>
    <hyperlink ref="E16" r:id="rId15" xr:uid="{00000000-0004-0000-0400-00000F000000}"/>
    <hyperlink ref="E17" r:id="rId16" xr:uid="{00000000-0004-0000-0400-000010000000}"/>
    <hyperlink ref="E18" r:id="rId17" xr:uid="{00000000-0004-0000-0400-000011000000}"/>
    <hyperlink ref="E19" r:id="rId18" xr:uid="{00000000-0004-0000-0400-000012000000}"/>
    <hyperlink ref="E20" r:id="rId19" xr:uid="{00000000-0004-0000-0400-000013000000}"/>
    <hyperlink ref="E21" r:id="rId20" xr:uid="{00000000-0004-0000-0400-000014000000}"/>
    <hyperlink ref="E22" r:id="rId21" xr:uid="{00000000-0004-0000-0400-000015000000}"/>
    <hyperlink ref="E23" r:id="rId22" xr:uid="{00000000-0004-0000-0400-000016000000}"/>
    <hyperlink ref="E24" r:id="rId23" xr:uid="{00000000-0004-0000-0400-000017000000}"/>
    <hyperlink ref="E25" r:id="rId24" xr:uid="{00000000-0004-0000-0400-000018000000}"/>
    <hyperlink ref="E26" r:id="rId25" xr:uid="{00000000-0004-0000-0400-000019000000}"/>
    <hyperlink ref="E27" r:id="rId26" xr:uid="{00000000-0004-0000-0400-00001A000000}"/>
    <hyperlink ref="E28" r:id="rId27" xr:uid="{00000000-0004-0000-0400-00001B000000}"/>
    <hyperlink ref="E29" r:id="rId28" xr:uid="{00000000-0004-0000-0400-00001C000000}"/>
    <hyperlink ref="E30" r:id="rId29" xr:uid="{00000000-0004-0000-0400-00001D000000}"/>
    <hyperlink ref="E31" r:id="rId30" xr:uid="{00000000-0004-0000-0400-00001E000000}"/>
    <hyperlink ref="E32" r:id="rId31" xr:uid="{00000000-0004-0000-0400-00001F000000}"/>
    <hyperlink ref="E33" r:id="rId32" xr:uid="{00000000-0004-0000-0400-000020000000}"/>
    <hyperlink ref="E34" r:id="rId33" xr:uid="{00000000-0004-0000-0400-000021000000}"/>
    <hyperlink ref="E35" r:id="rId34" xr:uid="{00000000-0004-0000-0400-000022000000}"/>
    <hyperlink ref="E36" r:id="rId35" xr:uid="{00000000-0004-0000-0400-000023000000}"/>
    <hyperlink ref="E37" r:id="rId36" xr:uid="{00000000-0004-0000-0400-000024000000}"/>
    <hyperlink ref="E38" r:id="rId37" xr:uid="{00000000-0004-0000-0400-000025000000}"/>
    <hyperlink ref="E39" r:id="rId38" xr:uid="{00000000-0004-0000-0400-000026000000}"/>
    <hyperlink ref="E40" r:id="rId39" xr:uid="{00000000-0004-0000-0400-000027000000}"/>
    <hyperlink ref="E41" r:id="rId40" xr:uid="{00000000-0004-0000-0400-000028000000}"/>
    <hyperlink ref="E42" r:id="rId41" xr:uid="{00000000-0004-0000-0400-000029000000}"/>
    <hyperlink ref="E43" r:id="rId42" xr:uid="{00000000-0004-0000-0400-00002A000000}"/>
    <hyperlink ref="E44" r:id="rId43" xr:uid="{00000000-0004-0000-0400-00002B000000}"/>
    <hyperlink ref="E45" r:id="rId44" xr:uid="{00000000-0004-0000-0400-00002C000000}"/>
    <hyperlink ref="E46" r:id="rId45" xr:uid="{00000000-0004-0000-0400-00002D000000}"/>
    <hyperlink ref="E47" r:id="rId46" xr:uid="{00000000-0004-0000-0400-00002E000000}"/>
    <hyperlink ref="E48" r:id="rId47" xr:uid="{00000000-0004-0000-0400-00002F000000}"/>
    <hyperlink ref="E49" r:id="rId48" xr:uid="{00000000-0004-0000-0400-000030000000}"/>
    <hyperlink ref="E50" r:id="rId49" xr:uid="{00000000-0004-0000-0400-000031000000}"/>
    <hyperlink ref="E51" r:id="rId50" xr:uid="{00000000-0004-0000-0400-000032000000}"/>
    <hyperlink ref="E52" r:id="rId51" xr:uid="{00000000-0004-0000-0400-000033000000}"/>
    <hyperlink ref="E53" r:id="rId52" xr:uid="{00000000-0004-0000-0400-000034000000}"/>
    <hyperlink ref="E54" r:id="rId53" xr:uid="{00000000-0004-0000-0400-000035000000}"/>
    <hyperlink ref="E55" r:id="rId54" xr:uid="{00000000-0004-0000-0400-000036000000}"/>
    <hyperlink ref="E56" r:id="rId55" xr:uid="{00000000-0004-0000-0400-000037000000}"/>
    <hyperlink ref="E57" r:id="rId56" xr:uid="{00000000-0004-0000-0400-000038000000}"/>
    <hyperlink ref="E58" r:id="rId57" xr:uid="{00000000-0004-0000-0400-000039000000}"/>
    <hyperlink ref="E59" r:id="rId58" xr:uid="{00000000-0004-0000-0400-00003A000000}"/>
    <hyperlink ref="E60" r:id="rId59" xr:uid="{00000000-0004-0000-0400-00003B000000}"/>
    <hyperlink ref="E61" r:id="rId60" xr:uid="{00000000-0004-0000-0400-00003C000000}"/>
    <hyperlink ref="E62" r:id="rId61" xr:uid="{00000000-0004-0000-0400-00003D000000}"/>
    <hyperlink ref="E63" r:id="rId62" xr:uid="{00000000-0004-0000-0400-00003E000000}"/>
  </hyperlinks>
  <pageMargins left="0.7" right="0.7" top="0.75" bottom="0.75" header="0.3" footer="0.3"/>
  <tableParts count="1">
    <tablePart r:id="rId6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30"/>
  <sheetViews>
    <sheetView workbookViewId="0"/>
  </sheetViews>
  <sheetFormatPr baseColWidth="10" defaultColWidth="8.83203125" defaultRowHeight="15"/>
  <cols>
    <col min="1" max="1" width="8" customWidth="1"/>
    <col min="2" max="2" width="28" customWidth="1"/>
    <col min="3" max="3" width="65" customWidth="1"/>
    <col min="4" max="4" width="48" customWidth="1"/>
    <col min="5" max="5" width="14" customWidth="1"/>
    <col min="6" max="7" width="15" customWidth="1"/>
  </cols>
  <sheetData>
    <row r="1" spans="1:7" ht="42.75" customHeight="1">
      <c r="A1" s="3" t="s">
        <v>522</v>
      </c>
      <c r="B1" s="3" t="s">
        <v>843</v>
      </c>
      <c r="C1" s="3" t="s">
        <v>844</v>
      </c>
      <c r="D1" s="3" t="s">
        <v>845</v>
      </c>
      <c r="E1" s="3" t="s">
        <v>846</v>
      </c>
      <c r="F1" s="14" t="s">
        <v>847</v>
      </c>
      <c r="G1" s="14" t="s">
        <v>848</v>
      </c>
    </row>
    <row r="2" spans="1:7" ht="16">
      <c r="A2" s="4">
        <v>1</v>
      </c>
      <c r="B2" s="4" t="s">
        <v>849</v>
      </c>
      <c r="C2" s="4" t="s">
        <v>850</v>
      </c>
      <c r="D2" s="4" t="s">
        <v>649</v>
      </c>
      <c r="E2" s="4">
        <v>6</v>
      </c>
      <c r="F2" s="13">
        <v>46296</v>
      </c>
      <c r="G2" s="13">
        <v>46302</v>
      </c>
    </row>
    <row r="3" spans="1:7" ht="16">
      <c r="A3" s="4">
        <v>2</v>
      </c>
      <c r="B3" s="4" t="s">
        <v>537</v>
      </c>
      <c r="C3" s="4" t="s">
        <v>851</v>
      </c>
      <c r="D3" s="4" t="s">
        <v>852</v>
      </c>
      <c r="E3" s="4">
        <v>6</v>
      </c>
      <c r="F3" s="13">
        <v>46303</v>
      </c>
      <c r="G3" s="13">
        <v>46309</v>
      </c>
    </row>
    <row r="4" spans="1:7" ht="16">
      <c r="A4" s="4">
        <v>3</v>
      </c>
      <c r="B4" s="4" t="s">
        <v>550</v>
      </c>
      <c r="C4" s="4" t="s">
        <v>853</v>
      </c>
      <c r="D4" s="4" t="s">
        <v>654</v>
      </c>
      <c r="E4" s="4">
        <v>8</v>
      </c>
      <c r="F4" s="13">
        <v>46310</v>
      </c>
      <c r="G4" s="13">
        <v>46316</v>
      </c>
    </row>
    <row r="5" spans="1:7" ht="16">
      <c r="A5" s="4">
        <v>4</v>
      </c>
      <c r="B5" s="4" t="s">
        <v>854</v>
      </c>
      <c r="C5" s="4" t="s">
        <v>855</v>
      </c>
      <c r="D5" s="4" t="s">
        <v>658</v>
      </c>
      <c r="E5" s="4">
        <v>8</v>
      </c>
      <c r="F5" s="13">
        <v>46317</v>
      </c>
      <c r="G5" s="13">
        <v>46323</v>
      </c>
    </row>
    <row r="6" spans="1:7" ht="16">
      <c r="A6" s="4">
        <v>5</v>
      </c>
      <c r="B6" s="4" t="s">
        <v>856</v>
      </c>
      <c r="C6" s="4" t="s">
        <v>857</v>
      </c>
      <c r="D6" s="4" t="s">
        <v>858</v>
      </c>
      <c r="E6" s="4">
        <v>7</v>
      </c>
      <c r="F6" s="13">
        <v>46324</v>
      </c>
      <c r="G6" s="13">
        <v>46330</v>
      </c>
    </row>
    <row r="7" spans="1:7" ht="16">
      <c r="A7" s="4">
        <v>6</v>
      </c>
      <c r="B7" s="4" t="s">
        <v>859</v>
      </c>
      <c r="C7" s="4" t="s">
        <v>860</v>
      </c>
      <c r="D7" s="4" t="s">
        <v>668</v>
      </c>
      <c r="E7" s="4">
        <v>9</v>
      </c>
      <c r="F7" s="13">
        <v>46331</v>
      </c>
      <c r="G7" s="13">
        <v>46337</v>
      </c>
    </row>
    <row r="8" spans="1:7" ht="16">
      <c r="A8" s="4">
        <v>7</v>
      </c>
      <c r="B8" s="4" t="s">
        <v>565</v>
      </c>
      <c r="C8" s="4" t="s">
        <v>861</v>
      </c>
      <c r="D8" s="4" t="s">
        <v>672</v>
      </c>
      <c r="E8" s="4">
        <v>9</v>
      </c>
      <c r="F8" s="13">
        <v>46338</v>
      </c>
      <c r="G8" s="13">
        <v>46344</v>
      </c>
    </row>
    <row r="9" spans="1:7" ht="16">
      <c r="A9" s="4">
        <v>8</v>
      </c>
      <c r="B9" s="4" t="s">
        <v>862</v>
      </c>
      <c r="C9" s="4" t="s">
        <v>863</v>
      </c>
      <c r="D9" s="4" t="s">
        <v>682</v>
      </c>
      <c r="E9" s="4">
        <v>6</v>
      </c>
      <c r="F9" s="13">
        <v>46345</v>
      </c>
      <c r="G9" s="13">
        <v>46351</v>
      </c>
    </row>
    <row r="10" spans="1:7" ht="16">
      <c r="A10" s="4">
        <v>9</v>
      </c>
      <c r="B10" s="4" t="s">
        <v>579</v>
      </c>
      <c r="C10" s="4" t="s">
        <v>864</v>
      </c>
      <c r="D10" s="4" t="s">
        <v>865</v>
      </c>
      <c r="E10" s="4">
        <v>9</v>
      </c>
      <c r="F10" s="13">
        <v>46352</v>
      </c>
      <c r="G10" s="13">
        <v>46358</v>
      </c>
    </row>
    <row r="11" spans="1:7" ht="32">
      <c r="A11" s="4">
        <v>10</v>
      </c>
      <c r="B11" s="4" t="s">
        <v>866</v>
      </c>
      <c r="C11" s="4" t="s">
        <v>867</v>
      </c>
      <c r="D11" s="4" t="s">
        <v>692</v>
      </c>
      <c r="E11" s="4">
        <v>8</v>
      </c>
      <c r="F11" s="13">
        <v>46359</v>
      </c>
      <c r="G11" s="13">
        <v>46365</v>
      </c>
    </row>
    <row r="12" spans="1:7" ht="16">
      <c r="A12" s="4">
        <v>11</v>
      </c>
      <c r="B12" s="4" t="s">
        <v>868</v>
      </c>
      <c r="C12" s="4" t="s">
        <v>869</v>
      </c>
      <c r="D12" s="4" t="s">
        <v>697</v>
      </c>
      <c r="E12" s="4">
        <v>9</v>
      </c>
      <c r="F12" s="13">
        <v>46366</v>
      </c>
      <c r="G12" s="13">
        <v>46372</v>
      </c>
    </row>
    <row r="13" spans="1:7" ht="16">
      <c r="A13" s="4">
        <v>12</v>
      </c>
      <c r="B13" s="4" t="s">
        <v>597</v>
      </c>
      <c r="C13" s="4" t="s">
        <v>870</v>
      </c>
      <c r="D13" s="4" t="s">
        <v>871</v>
      </c>
      <c r="E13" s="4">
        <v>8</v>
      </c>
      <c r="F13" s="13">
        <v>46373</v>
      </c>
      <c r="G13" s="13">
        <v>46379</v>
      </c>
    </row>
    <row r="14" spans="1:7" ht="16">
      <c r="A14" s="4">
        <v>13</v>
      </c>
      <c r="B14" s="4" t="s">
        <v>872</v>
      </c>
      <c r="C14" s="4" t="s">
        <v>873</v>
      </c>
      <c r="D14" s="4" t="s">
        <v>874</v>
      </c>
      <c r="E14" s="4">
        <v>8</v>
      </c>
      <c r="F14" s="13">
        <v>46380</v>
      </c>
      <c r="G14" s="13">
        <v>46386</v>
      </c>
    </row>
    <row r="15" spans="1:7" ht="16">
      <c r="A15" s="4">
        <v>14</v>
      </c>
      <c r="B15" s="4" t="s">
        <v>875</v>
      </c>
      <c r="C15" s="4" t="s">
        <v>876</v>
      </c>
      <c r="D15" s="4" t="s">
        <v>707</v>
      </c>
      <c r="E15" s="4">
        <v>8</v>
      </c>
      <c r="F15" s="13">
        <v>46387</v>
      </c>
      <c r="G15" s="13">
        <v>46393</v>
      </c>
    </row>
    <row r="16" spans="1:7" ht="32">
      <c r="A16" s="4">
        <v>15</v>
      </c>
      <c r="B16" s="4" t="s">
        <v>877</v>
      </c>
      <c r="C16" s="4" t="s">
        <v>878</v>
      </c>
      <c r="D16" s="4" t="s">
        <v>879</v>
      </c>
      <c r="E16" s="4">
        <v>10</v>
      </c>
      <c r="F16" s="13">
        <v>46394</v>
      </c>
      <c r="G16" s="13">
        <v>46400</v>
      </c>
    </row>
    <row r="17" spans="1:7" ht="32">
      <c r="A17" s="4">
        <v>16</v>
      </c>
      <c r="B17" s="4" t="s">
        <v>880</v>
      </c>
      <c r="C17" s="4" t="s">
        <v>881</v>
      </c>
      <c r="D17" s="4" t="s">
        <v>882</v>
      </c>
      <c r="E17" s="4">
        <v>9</v>
      </c>
      <c r="F17" s="13">
        <v>46401</v>
      </c>
      <c r="G17" s="13">
        <v>46407</v>
      </c>
    </row>
    <row r="18" spans="1:7" ht="32">
      <c r="A18" s="4">
        <v>17</v>
      </c>
      <c r="B18" s="4" t="s">
        <v>883</v>
      </c>
      <c r="C18" s="4" t="s">
        <v>884</v>
      </c>
      <c r="D18" s="4" t="s">
        <v>885</v>
      </c>
      <c r="E18" s="4">
        <v>8</v>
      </c>
      <c r="F18" s="13">
        <v>46408</v>
      </c>
      <c r="G18" s="13">
        <v>46414</v>
      </c>
    </row>
    <row r="19" spans="1:7" ht="16">
      <c r="A19" s="4">
        <v>18</v>
      </c>
      <c r="B19" s="4" t="s">
        <v>886</v>
      </c>
      <c r="C19" s="4" t="s">
        <v>181</v>
      </c>
      <c r="D19" s="4" t="s">
        <v>712</v>
      </c>
      <c r="E19" s="4">
        <v>12</v>
      </c>
      <c r="F19" s="13">
        <v>46415</v>
      </c>
      <c r="G19" s="13">
        <v>46421</v>
      </c>
    </row>
    <row r="20" spans="1:7" ht="16">
      <c r="A20" s="4">
        <v>19</v>
      </c>
      <c r="B20" s="4" t="s">
        <v>887</v>
      </c>
      <c r="C20" s="4" t="s">
        <v>181</v>
      </c>
      <c r="D20" s="4" t="s">
        <v>888</v>
      </c>
      <c r="E20" s="4">
        <v>12</v>
      </c>
      <c r="F20" s="13">
        <v>46422</v>
      </c>
      <c r="G20" s="13">
        <v>46428</v>
      </c>
    </row>
    <row r="21" spans="1:7" ht="16">
      <c r="A21" s="4">
        <v>20</v>
      </c>
      <c r="B21" s="4" t="s">
        <v>889</v>
      </c>
      <c r="C21" s="4" t="s">
        <v>181</v>
      </c>
      <c r="D21" s="4" t="s">
        <v>890</v>
      </c>
      <c r="E21" s="4">
        <v>16</v>
      </c>
      <c r="F21" s="13">
        <v>46429</v>
      </c>
      <c r="G21" s="13">
        <v>46435</v>
      </c>
    </row>
    <row r="22" spans="1:7">
      <c r="A22" s="4"/>
      <c r="B22" s="4"/>
      <c r="C22" s="4"/>
      <c r="D22" s="4"/>
      <c r="E22" s="4"/>
    </row>
    <row r="23" spans="1:7">
      <c r="A23" s="4"/>
      <c r="B23" s="4"/>
      <c r="C23" s="4"/>
      <c r="D23" s="4"/>
      <c r="E23" s="4"/>
    </row>
    <row r="24" spans="1:7">
      <c r="A24" s="4"/>
      <c r="B24" s="4"/>
      <c r="C24" s="4"/>
      <c r="D24" s="4"/>
      <c r="E24" s="4"/>
    </row>
    <row r="25" spans="1:7">
      <c r="A25" s="4"/>
      <c r="B25" s="4"/>
      <c r="C25" s="4"/>
      <c r="D25" s="4"/>
      <c r="E25" s="4"/>
    </row>
    <row r="26" spans="1:7">
      <c r="A26" s="4"/>
      <c r="B26" s="4"/>
      <c r="C26" s="4"/>
      <c r="D26" s="4"/>
      <c r="E26" s="4"/>
    </row>
    <row r="27" spans="1:7">
      <c r="A27" s="4"/>
      <c r="B27" s="4"/>
      <c r="C27" s="4"/>
      <c r="D27" s="4"/>
      <c r="E27" s="4"/>
    </row>
    <row r="28" spans="1:7">
      <c r="A28" s="4"/>
      <c r="B28" s="4"/>
      <c r="C28" s="4"/>
      <c r="D28" s="4"/>
      <c r="E28" s="4"/>
    </row>
    <row r="29" spans="1:7">
      <c r="A29" s="4"/>
      <c r="B29" s="4"/>
      <c r="C29" s="4"/>
      <c r="D29" s="4"/>
      <c r="E29" s="4"/>
    </row>
    <row r="30" spans="1:7">
      <c r="A30" s="4"/>
      <c r="B30" s="4"/>
      <c r="C30" s="4"/>
      <c r="D30" s="4"/>
      <c r="E30" s="4"/>
    </row>
  </sheetData>
  <hyperlinks>
    <hyperlink ref="G1" location="'Master Plan'!A1" display="End Date" xr:uid="{00000000-0004-0000-0500-000000000000}"/>
  </hyperlink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12"/>
  <sheetViews>
    <sheetView workbookViewId="0"/>
  </sheetViews>
  <sheetFormatPr baseColWidth="10" defaultColWidth="8.83203125" defaultRowHeight="15"/>
  <cols>
    <col min="1" max="1" width="20" customWidth="1"/>
    <col min="2" max="2" width="34" customWidth="1"/>
    <col min="3" max="3" width="20" customWidth="1"/>
    <col min="4" max="4" width="12" customWidth="1"/>
    <col min="5" max="5" width="42" customWidth="1"/>
    <col min="6" max="7" width="48" customWidth="1"/>
    <col min="8" max="8" width="22" customWidth="1"/>
    <col min="9" max="9" width="18" customWidth="1"/>
    <col min="10" max="10" width="14" customWidth="1"/>
  </cols>
  <sheetData>
    <row r="1" spans="1:12" ht="37.25" customHeight="1">
      <c r="A1" s="9" t="s">
        <v>891</v>
      </c>
      <c r="B1" s="9" t="s">
        <v>524</v>
      </c>
      <c r="C1" s="9" t="s">
        <v>4</v>
      </c>
      <c r="D1" s="9" t="s">
        <v>5</v>
      </c>
      <c r="E1" s="9" t="s">
        <v>892</v>
      </c>
      <c r="F1" s="9" t="s">
        <v>893</v>
      </c>
      <c r="G1" s="9" t="s">
        <v>894</v>
      </c>
      <c r="H1" s="9" t="s">
        <v>895</v>
      </c>
      <c r="I1" s="9" t="s">
        <v>896</v>
      </c>
      <c r="J1" s="9" t="s">
        <v>12</v>
      </c>
      <c r="L1" s="12" t="s">
        <v>530</v>
      </c>
    </row>
    <row r="2" spans="1:12" ht="32">
      <c r="A2" s="1" t="s">
        <v>897</v>
      </c>
      <c r="B2" s="1" t="s">
        <v>48</v>
      </c>
      <c r="C2" s="1" t="s">
        <v>49</v>
      </c>
      <c r="D2" s="1" t="s">
        <v>20</v>
      </c>
      <c r="E2" s="1" t="s">
        <v>50</v>
      </c>
      <c r="F2" s="1" t="s">
        <v>53</v>
      </c>
      <c r="G2" s="1" t="s">
        <v>51</v>
      </c>
      <c r="H2" s="1" t="s">
        <v>898</v>
      </c>
      <c r="I2" s="8" t="s">
        <v>25</v>
      </c>
      <c r="J2" s="1" t="s">
        <v>26</v>
      </c>
    </row>
    <row r="3" spans="1:12" ht="48">
      <c r="A3" s="1" t="s">
        <v>897</v>
      </c>
      <c r="B3" s="1" t="s">
        <v>273</v>
      </c>
      <c r="C3" s="1" t="s">
        <v>49</v>
      </c>
      <c r="D3" s="1" t="s">
        <v>42</v>
      </c>
      <c r="E3" s="1" t="s">
        <v>274</v>
      </c>
      <c r="F3" s="1" t="s">
        <v>276</v>
      </c>
      <c r="G3" s="1" t="s">
        <v>275</v>
      </c>
      <c r="H3" s="1" t="s">
        <v>899</v>
      </c>
      <c r="I3" s="8" t="s">
        <v>25</v>
      </c>
      <c r="J3" s="1" t="s">
        <v>26</v>
      </c>
    </row>
    <row r="4" spans="1:12" ht="48">
      <c r="A4" s="1" t="s">
        <v>900</v>
      </c>
      <c r="B4" s="1" t="s">
        <v>108</v>
      </c>
      <c r="C4" s="1" t="s">
        <v>109</v>
      </c>
      <c r="D4" s="1" t="s">
        <v>20</v>
      </c>
      <c r="E4" s="1" t="s">
        <v>110</v>
      </c>
      <c r="F4" s="1" t="s">
        <v>112</v>
      </c>
      <c r="G4" s="1" t="s">
        <v>111</v>
      </c>
      <c r="H4" s="1" t="s">
        <v>901</v>
      </c>
      <c r="I4" s="8" t="s">
        <v>25</v>
      </c>
      <c r="J4" s="1" t="s">
        <v>26</v>
      </c>
    </row>
    <row r="5" spans="1:12" ht="48">
      <c r="A5" s="1" t="s">
        <v>902</v>
      </c>
      <c r="B5" s="1" t="s">
        <v>217</v>
      </c>
      <c r="C5" s="1" t="s">
        <v>109</v>
      </c>
      <c r="D5" s="1" t="s">
        <v>20</v>
      </c>
      <c r="E5" s="1" t="s">
        <v>218</v>
      </c>
      <c r="F5" s="1" t="s">
        <v>220</v>
      </c>
      <c r="G5" s="1" t="s">
        <v>219</v>
      </c>
      <c r="H5" s="1" t="s">
        <v>903</v>
      </c>
      <c r="I5" s="8" t="s">
        <v>25</v>
      </c>
      <c r="J5" s="1" t="s">
        <v>26</v>
      </c>
    </row>
    <row r="6" spans="1:12" ht="48">
      <c r="A6" s="1" t="s">
        <v>904</v>
      </c>
      <c r="B6" s="1" t="s">
        <v>303</v>
      </c>
      <c r="C6" s="1" t="s">
        <v>109</v>
      </c>
      <c r="D6" s="1" t="s">
        <v>42</v>
      </c>
      <c r="E6" s="1" t="s">
        <v>304</v>
      </c>
      <c r="F6" s="1" t="s">
        <v>306</v>
      </c>
      <c r="G6" s="1" t="s">
        <v>305</v>
      </c>
      <c r="H6" s="1" t="s">
        <v>905</v>
      </c>
      <c r="I6" s="8" t="s">
        <v>25</v>
      </c>
      <c r="J6" s="1" t="s">
        <v>26</v>
      </c>
    </row>
    <row r="7" spans="1:12" ht="48">
      <c r="A7" s="1" t="s">
        <v>906</v>
      </c>
      <c r="B7" s="1" t="s">
        <v>397</v>
      </c>
      <c r="C7" s="1" t="s">
        <v>109</v>
      </c>
      <c r="D7" s="1" t="s">
        <v>42</v>
      </c>
      <c r="E7" s="1" t="s">
        <v>398</v>
      </c>
      <c r="F7" s="1" t="s">
        <v>400</v>
      </c>
      <c r="G7" s="1" t="s">
        <v>399</v>
      </c>
      <c r="H7" s="1" t="s">
        <v>907</v>
      </c>
      <c r="I7" s="8" t="s">
        <v>25</v>
      </c>
      <c r="J7" s="1" t="s">
        <v>26</v>
      </c>
    </row>
    <row r="8" spans="1:12" ht="48">
      <c r="A8" s="1" t="s">
        <v>908</v>
      </c>
      <c r="B8" s="1" t="s">
        <v>55</v>
      </c>
      <c r="C8" s="1" t="s">
        <v>56</v>
      </c>
      <c r="D8" s="1" t="s">
        <v>42</v>
      </c>
      <c r="E8" s="1" t="s">
        <v>57</v>
      </c>
      <c r="F8" s="1" t="s">
        <v>59</v>
      </c>
      <c r="G8" s="1" t="s">
        <v>58</v>
      </c>
      <c r="H8" s="1" t="s">
        <v>909</v>
      </c>
      <c r="I8" s="8" t="s">
        <v>25</v>
      </c>
      <c r="J8" s="1" t="s">
        <v>26</v>
      </c>
    </row>
    <row r="9" spans="1:12" ht="48">
      <c r="A9" s="1" t="s">
        <v>910</v>
      </c>
      <c r="B9" s="1" t="s">
        <v>160</v>
      </c>
      <c r="C9" s="1" t="s">
        <v>56</v>
      </c>
      <c r="D9" s="1" t="s">
        <v>20</v>
      </c>
      <c r="E9" s="1" t="s">
        <v>161</v>
      </c>
      <c r="F9" s="1" t="s">
        <v>163</v>
      </c>
      <c r="G9" s="1" t="s">
        <v>162</v>
      </c>
      <c r="H9" s="1" t="s">
        <v>911</v>
      </c>
      <c r="I9" s="8" t="s">
        <v>25</v>
      </c>
      <c r="J9" s="1" t="s">
        <v>26</v>
      </c>
    </row>
    <row r="10" spans="1:12" ht="48">
      <c r="A10" s="1" t="s">
        <v>912</v>
      </c>
      <c r="B10" s="1" t="s">
        <v>308</v>
      </c>
      <c r="C10" s="1" t="s">
        <v>56</v>
      </c>
      <c r="D10" s="1" t="s">
        <v>42</v>
      </c>
      <c r="E10" s="1" t="s">
        <v>309</v>
      </c>
      <c r="F10" s="1" t="s">
        <v>311</v>
      </c>
      <c r="G10" s="1" t="s">
        <v>310</v>
      </c>
      <c r="H10" s="1" t="s">
        <v>913</v>
      </c>
      <c r="I10" s="8" t="s">
        <v>25</v>
      </c>
      <c r="J10" s="1" t="s">
        <v>26</v>
      </c>
    </row>
    <row r="11" spans="1:12" ht="48">
      <c r="A11" s="1" t="s">
        <v>914</v>
      </c>
      <c r="B11" s="1" t="s">
        <v>61</v>
      </c>
      <c r="C11" s="1" t="s">
        <v>56</v>
      </c>
      <c r="D11" s="1" t="s">
        <v>62</v>
      </c>
      <c r="E11" s="1" t="s">
        <v>63</v>
      </c>
      <c r="F11" s="1" t="s">
        <v>65</v>
      </c>
      <c r="G11" s="1" t="s">
        <v>64</v>
      </c>
      <c r="H11" s="1" t="s">
        <v>915</v>
      </c>
      <c r="I11" s="8" t="s">
        <v>25</v>
      </c>
      <c r="J11" s="1" t="s">
        <v>26</v>
      </c>
    </row>
    <row r="12" spans="1:12" ht="48">
      <c r="A12" s="1" t="s">
        <v>916</v>
      </c>
      <c r="B12" s="1" t="s">
        <v>67</v>
      </c>
      <c r="C12" s="1" t="s">
        <v>68</v>
      </c>
      <c r="D12" s="1" t="s">
        <v>42</v>
      </c>
      <c r="E12" s="1" t="s">
        <v>69</v>
      </c>
      <c r="F12" s="1" t="s">
        <v>71</v>
      </c>
      <c r="G12" s="1" t="s">
        <v>70</v>
      </c>
      <c r="H12" s="1" t="s">
        <v>917</v>
      </c>
      <c r="I12" s="8" t="s">
        <v>25</v>
      </c>
      <c r="J12" s="1" t="s">
        <v>26</v>
      </c>
    </row>
  </sheetData>
  <conditionalFormatting sqref="D2:D12">
    <cfRule type="expression" dxfId="7" priority="1">
      <formula>D2="VERY HIGH"</formula>
    </cfRule>
    <cfRule type="expression" dxfId="6" priority="2">
      <formula>D2="HIGH"</formula>
    </cfRule>
    <cfRule type="expression" dxfId="5" priority="3">
      <formula>D2="MEDIUM"</formula>
    </cfRule>
  </conditionalFormatting>
  <dataValidations count="2">
    <dataValidation type="list" sqref="D2:D12" xr:uid="{00000000-0002-0000-0600-000000000000}">
      <formula1>"VERY HIGH,HIGH,MEDIUM"</formula1>
    </dataValidation>
    <dataValidation type="list" sqref="J2:J12" xr:uid="{00000000-0002-0000-0600-000001000000}">
      <formula1>"Not Started,In Progress,Done,Skipped"</formula1>
    </dataValidation>
  </dataValidations>
  <hyperlinks>
    <hyperlink ref="L1" location="'Master Plan'!A1" display="Back to Master Plan" xr:uid="{00000000-0004-0000-0600-000000000000}"/>
    <hyperlink ref="I2" r:id="rId1" xr:uid="{00000000-0004-0000-0600-000001000000}"/>
    <hyperlink ref="I3" r:id="rId2" xr:uid="{00000000-0004-0000-0600-000002000000}"/>
    <hyperlink ref="I4" r:id="rId3" xr:uid="{00000000-0004-0000-0600-000003000000}"/>
    <hyperlink ref="I5" r:id="rId4" xr:uid="{00000000-0004-0000-0600-000004000000}"/>
    <hyperlink ref="I6" r:id="rId5" xr:uid="{00000000-0004-0000-0600-000005000000}"/>
    <hyperlink ref="I7" r:id="rId6" xr:uid="{00000000-0004-0000-0600-000006000000}"/>
    <hyperlink ref="I8" r:id="rId7" xr:uid="{00000000-0004-0000-0600-000007000000}"/>
    <hyperlink ref="I9" r:id="rId8" xr:uid="{00000000-0004-0000-0600-000008000000}"/>
    <hyperlink ref="I10" r:id="rId9" xr:uid="{00000000-0004-0000-0600-000009000000}"/>
    <hyperlink ref="I11" r:id="rId10" xr:uid="{00000000-0004-0000-0600-00000A000000}"/>
    <hyperlink ref="I12" r:id="rId11" xr:uid="{00000000-0004-0000-0600-00000B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13"/>
  <sheetViews>
    <sheetView workbookViewId="0"/>
  </sheetViews>
  <sheetFormatPr baseColWidth="10" defaultColWidth="8.83203125" defaultRowHeight="15"/>
  <cols>
    <col min="1" max="1" width="8" customWidth="1"/>
    <col min="2" max="2" width="44" customWidth="1"/>
    <col min="3" max="3" width="24" customWidth="1"/>
    <col min="4" max="4" width="12" customWidth="1"/>
    <col min="5" max="5" width="50" customWidth="1"/>
    <col min="6" max="6" width="52" customWidth="1"/>
    <col min="7" max="7" width="30" customWidth="1"/>
    <col min="8" max="8" width="16" customWidth="1"/>
    <col min="9" max="9" width="14" customWidth="1"/>
  </cols>
  <sheetData>
    <row r="1" spans="1:11" ht="37.25" customHeight="1">
      <c r="A1" s="9" t="s">
        <v>521</v>
      </c>
      <c r="B1" s="9" t="s">
        <v>918</v>
      </c>
      <c r="C1" s="9" t="s">
        <v>919</v>
      </c>
      <c r="D1" s="9" t="s">
        <v>5</v>
      </c>
      <c r="E1" s="9" t="s">
        <v>893</v>
      </c>
      <c r="F1" s="9" t="s">
        <v>920</v>
      </c>
      <c r="G1" s="9" t="s">
        <v>921</v>
      </c>
      <c r="H1" s="9" t="s">
        <v>896</v>
      </c>
      <c r="I1" s="9" t="s">
        <v>12</v>
      </c>
      <c r="K1" s="12" t="s">
        <v>530</v>
      </c>
    </row>
    <row r="2" spans="1:11" ht="64">
      <c r="A2" s="1">
        <v>1</v>
      </c>
      <c r="B2" s="1" t="s">
        <v>803</v>
      </c>
      <c r="C2" s="1" t="s">
        <v>341</v>
      </c>
      <c r="D2" s="1" t="s">
        <v>20</v>
      </c>
      <c r="E2" s="1" t="s">
        <v>922</v>
      </c>
      <c r="F2" s="1" t="s">
        <v>923</v>
      </c>
      <c r="G2" s="1" t="s">
        <v>924</v>
      </c>
      <c r="H2" s="8" t="s">
        <v>925</v>
      </c>
      <c r="I2" s="1" t="s">
        <v>26</v>
      </c>
    </row>
    <row r="3" spans="1:11" ht="48">
      <c r="A3" s="1">
        <v>2</v>
      </c>
      <c r="B3" s="1" t="s">
        <v>377</v>
      </c>
      <c r="C3" s="1" t="s">
        <v>341</v>
      </c>
      <c r="D3" s="1" t="s">
        <v>20</v>
      </c>
      <c r="E3" s="1" t="s">
        <v>378</v>
      </c>
      <c r="F3" s="1" t="s">
        <v>379</v>
      </c>
      <c r="G3" s="1" t="s">
        <v>380</v>
      </c>
      <c r="H3" s="8" t="s">
        <v>925</v>
      </c>
      <c r="I3" s="1" t="s">
        <v>26</v>
      </c>
    </row>
    <row r="4" spans="1:11" ht="48">
      <c r="A4" s="1">
        <v>3</v>
      </c>
      <c r="B4" s="1" t="s">
        <v>340</v>
      </c>
      <c r="C4" s="1" t="s">
        <v>341</v>
      </c>
      <c r="D4" s="1" t="s">
        <v>20</v>
      </c>
      <c r="E4" s="1" t="s">
        <v>342</v>
      </c>
      <c r="F4" s="1" t="s">
        <v>343</v>
      </c>
      <c r="G4" s="1" t="s">
        <v>345</v>
      </c>
      <c r="H4" s="8" t="s">
        <v>925</v>
      </c>
      <c r="I4" s="1" t="s">
        <v>26</v>
      </c>
    </row>
    <row r="5" spans="1:11" ht="32">
      <c r="A5" s="1">
        <v>4</v>
      </c>
      <c r="B5" s="1" t="s">
        <v>346</v>
      </c>
      <c r="C5" s="1" t="s">
        <v>341</v>
      </c>
      <c r="D5" s="1" t="s">
        <v>20</v>
      </c>
      <c r="E5" s="1" t="s">
        <v>347</v>
      </c>
      <c r="F5" s="1" t="s">
        <v>348</v>
      </c>
      <c r="G5" s="1" t="s">
        <v>349</v>
      </c>
      <c r="H5" s="8" t="s">
        <v>925</v>
      </c>
      <c r="I5" s="1" t="s">
        <v>26</v>
      </c>
    </row>
    <row r="6" spans="1:11" ht="32">
      <c r="A6" s="1">
        <v>5</v>
      </c>
      <c r="B6" s="1" t="s">
        <v>381</v>
      </c>
      <c r="C6" s="1" t="s">
        <v>382</v>
      </c>
      <c r="D6" s="1" t="s">
        <v>20</v>
      </c>
      <c r="E6" s="1" t="s">
        <v>383</v>
      </c>
      <c r="F6" s="1" t="s">
        <v>384</v>
      </c>
      <c r="G6" s="1" t="s">
        <v>385</v>
      </c>
      <c r="H6" s="8" t="s">
        <v>926</v>
      </c>
      <c r="I6" s="1" t="s">
        <v>26</v>
      </c>
    </row>
    <row r="7" spans="1:11" ht="32">
      <c r="A7" s="1">
        <v>6</v>
      </c>
      <c r="B7" s="1" t="s">
        <v>402</v>
      </c>
      <c r="C7" s="1" t="s">
        <v>382</v>
      </c>
      <c r="D7" s="1" t="s">
        <v>20</v>
      </c>
      <c r="E7" s="1" t="s">
        <v>403</v>
      </c>
      <c r="F7" s="1" t="s">
        <v>404</v>
      </c>
      <c r="G7" s="1" t="s">
        <v>405</v>
      </c>
      <c r="H7" s="8" t="s">
        <v>926</v>
      </c>
      <c r="I7" s="1" t="s">
        <v>26</v>
      </c>
    </row>
    <row r="8" spans="1:11" ht="48">
      <c r="A8" s="1">
        <v>7</v>
      </c>
      <c r="B8" s="1" t="s">
        <v>452</v>
      </c>
      <c r="C8" s="1" t="s">
        <v>382</v>
      </c>
      <c r="D8" s="1" t="s">
        <v>42</v>
      </c>
      <c r="E8" s="1" t="s">
        <v>453</v>
      </c>
      <c r="F8" s="1" t="s">
        <v>454</v>
      </c>
      <c r="G8" s="1" t="s">
        <v>455</v>
      </c>
      <c r="H8" s="8" t="s">
        <v>926</v>
      </c>
      <c r="I8" s="1" t="s">
        <v>26</v>
      </c>
    </row>
    <row r="9" spans="1:11" ht="32">
      <c r="A9" s="1">
        <v>8</v>
      </c>
      <c r="B9" s="1" t="s">
        <v>406</v>
      </c>
      <c r="C9" s="1" t="s">
        <v>407</v>
      </c>
      <c r="D9" s="1" t="s">
        <v>20</v>
      </c>
      <c r="E9" s="1" t="s">
        <v>408</v>
      </c>
      <c r="F9" s="1" t="s">
        <v>409</v>
      </c>
      <c r="G9" s="1" t="s">
        <v>410</v>
      </c>
      <c r="H9" s="8" t="s">
        <v>926</v>
      </c>
      <c r="I9" s="1" t="s">
        <v>26</v>
      </c>
    </row>
    <row r="10" spans="1:11" ht="32">
      <c r="A10" s="1">
        <v>9</v>
      </c>
      <c r="B10" s="1" t="s">
        <v>411</v>
      </c>
      <c r="C10" s="1" t="s">
        <v>407</v>
      </c>
      <c r="D10" s="1" t="s">
        <v>20</v>
      </c>
      <c r="E10" s="1" t="s">
        <v>412</v>
      </c>
      <c r="F10" s="1" t="s">
        <v>413</v>
      </c>
      <c r="G10" s="1" t="s">
        <v>414</v>
      </c>
      <c r="H10" s="8" t="s">
        <v>926</v>
      </c>
      <c r="I10" s="1" t="s">
        <v>26</v>
      </c>
    </row>
    <row r="11" spans="1:11" ht="32">
      <c r="A11" s="1">
        <v>10</v>
      </c>
      <c r="B11" s="1" t="s">
        <v>436</v>
      </c>
      <c r="C11" s="1" t="s">
        <v>407</v>
      </c>
      <c r="D11" s="1" t="s">
        <v>20</v>
      </c>
      <c r="E11" s="1" t="s">
        <v>437</v>
      </c>
      <c r="F11" s="1" t="s">
        <v>438</v>
      </c>
      <c r="G11" s="1" t="s">
        <v>439</v>
      </c>
      <c r="H11" s="8" t="s">
        <v>926</v>
      </c>
      <c r="I11" s="1" t="s">
        <v>26</v>
      </c>
    </row>
    <row r="12" spans="1:11" ht="32">
      <c r="A12" s="1">
        <v>11</v>
      </c>
      <c r="B12" s="1" t="s">
        <v>440</v>
      </c>
      <c r="C12" s="1" t="s">
        <v>441</v>
      </c>
      <c r="D12" s="1" t="s">
        <v>20</v>
      </c>
      <c r="E12" s="1" t="s">
        <v>442</v>
      </c>
      <c r="F12" s="1" t="s">
        <v>443</v>
      </c>
      <c r="G12" s="1" t="s">
        <v>444</v>
      </c>
      <c r="H12" s="8" t="s">
        <v>926</v>
      </c>
      <c r="I12" s="1" t="s">
        <v>26</v>
      </c>
    </row>
    <row r="13" spans="1:11" ht="48">
      <c r="A13" s="1">
        <v>12</v>
      </c>
      <c r="B13" s="1" t="s">
        <v>350</v>
      </c>
      <c r="C13" s="1" t="s">
        <v>351</v>
      </c>
      <c r="D13" s="1" t="s">
        <v>42</v>
      </c>
      <c r="E13" s="1" t="s">
        <v>352</v>
      </c>
      <c r="F13" s="1" t="s">
        <v>353</v>
      </c>
      <c r="G13" s="1" t="s">
        <v>354</v>
      </c>
      <c r="H13" s="8" t="s">
        <v>925</v>
      </c>
      <c r="I13" s="1" t="s">
        <v>26</v>
      </c>
    </row>
  </sheetData>
  <conditionalFormatting sqref="D2:D13">
    <cfRule type="expression" dxfId="4" priority="1">
      <formula>D2="VERY HIGH"</formula>
    </cfRule>
    <cfRule type="expression" dxfId="3" priority="2">
      <formula>D2="HIGH"</formula>
    </cfRule>
  </conditionalFormatting>
  <dataValidations count="2">
    <dataValidation type="list" sqref="D2:D13" xr:uid="{00000000-0002-0000-0700-000000000000}">
      <formula1>"VERY HIGH,HIGH,MEDIUM"</formula1>
    </dataValidation>
    <dataValidation type="list" sqref="I2:I13" xr:uid="{00000000-0002-0000-0700-000001000000}">
      <formula1>"Not Started,In Progress,Done,Skipped"</formula1>
    </dataValidation>
  </dataValidations>
  <hyperlinks>
    <hyperlink ref="K1" location="'Master Plan'!A1" display="Back to Master Plan" xr:uid="{00000000-0004-0000-0700-000000000000}"/>
    <hyperlink ref="H2" r:id="rId1" xr:uid="{00000000-0004-0000-0700-000001000000}"/>
    <hyperlink ref="H3" r:id="rId2" xr:uid="{00000000-0004-0000-0700-000002000000}"/>
    <hyperlink ref="H4" r:id="rId3" xr:uid="{00000000-0004-0000-0700-000003000000}"/>
    <hyperlink ref="H5" r:id="rId4" xr:uid="{00000000-0004-0000-0700-000004000000}"/>
    <hyperlink ref="H6" r:id="rId5" xr:uid="{00000000-0004-0000-0700-000005000000}"/>
    <hyperlink ref="H7" r:id="rId6" xr:uid="{00000000-0004-0000-0700-000006000000}"/>
    <hyperlink ref="H8" r:id="rId7" xr:uid="{00000000-0004-0000-0700-000007000000}"/>
    <hyperlink ref="H9" r:id="rId8" xr:uid="{00000000-0004-0000-0700-000008000000}"/>
    <hyperlink ref="H10" r:id="rId9" xr:uid="{00000000-0004-0000-0700-000009000000}"/>
    <hyperlink ref="H11" r:id="rId10" xr:uid="{00000000-0004-0000-0700-00000A000000}"/>
    <hyperlink ref="H12" r:id="rId11" xr:uid="{00000000-0004-0000-0700-00000B000000}"/>
    <hyperlink ref="H13" r:id="rId12" xr:uid="{00000000-0004-0000-0700-00000C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12"/>
  <sheetViews>
    <sheetView workbookViewId="0"/>
  </sheetViews>
  <sheetFormatPr baseColWidth="10" defaultColWidth="8.83203125" defaultRowHeight="15"/>
  <cols>
    <col min="1" max="1" width="8" customWidth="1"/>
    <col min="2" max="2" width="22" customWidth="1"/>
    <col min="3" max="3" width="40" customWidth="1"/>
    <col min="4" max="4" width="22" customWidth="1"/>
    <col min="5" max="5" width="12" customWidth="1"/>
    <col min="6" max="6" width="16" customWidth="1"/>
    <col min="7" max="7" width="48" customWidth="1"/>
    <col min="8" max="8" width="50" customWidth="1"/>
    <col min="9" max="9" width="34" customWidth="1"/>
    <col min="10" max="10" width="18" customWidth="1"/>
    <col min="11" max="11" width="14" customWidth="1"/>
  </cols>
  <sheetData>
    <row r="1" spans="1:13" ht="16">
      <c r="A1" s="10" t="s">
        <v>521</v>
      </c>
      <c r="B1" s="10" t="s">
        <v>523</v>
      </c>
      <c r="C1" s="10" t="s">
        <v>524</v>
      </c>
      <c r="D1" s="10" t="s">
        <v>4</v>
      </c>
      <c r="E1" s="10" t="s">
        <v>5</v>
      </c>
      <c r="F1" s="10" t="s">
        <v>927</v>
      </c>
      <c r="G1" s="10" t="s">
        <v>893</v>
      </c>
      <c r="H1" s="10" t="s">
        <v>528</v>
      </c>
      <c r="I1" s="10" t="s">
        <v>921</v>
      </c>
      <c r="J1" s="10" t="s">
        <v>896</v>
      </c>
      <c r="K1" s="10" t="s">
        <v>12</v>
      </c>
      <c r="M1" s="12" t="s">
        <v>530</v>
      </c>
    </row>
    <row r="2" spans="1:13" ht="32">
      <c r="A2" s="1">
        <v>1</v>
      </c>
      <c r="B2" s="1" t="s">
        <v>928</v>
      </c>
      <c r="C2" s="1" t="s">
        <v>102</v>
      </c>
      <c r="D2" s="1" t="s">
        <v>19</v>
      </c>
      <c r="E2" s="1" t="s">
        <v>20</v>
      </c>
      <c r="F2" s="1" t="s">
        <v>100</v>
      </c>
      <c r="G2" s="1" t="s">
        <v>103</v>
      </c>
      <c r="H2" s="1" t="s">
        <v>104</v>
      </c>
      <c r="I2" s="1" t="s">
        <v>106</v>
      </c>
      <c r="J2" s="8" t="s">
        <v>25</v>
      </c>
      <c r="K2" s="1" t="s">
        <v>26</v>
      </c>
    </row>
    <row r="3" spans="1:13" ht="32">
      <c r="A3" s="1">
        <v>2</v>
      </c>
      <c r="B3" s="1" t="s">
        <v>929</v>
      </c>
      <c r="C3" s="1" t="s">
        <v>130</v>
      </c>
      <c r="D3" s="1" t="s">
        <v>35</v>
      </c>
      <c r="E3" s="1" t="s">
        <v>20</v>
      </c>
      <c r="F3" s="1" t="s">
        <v>129</v>
      </c>
      <c r="G3" s="1" t="s">
        <v>131</v>
      </c>
      <c r="H3" s="1" t="s">
        <v>132</v>
      </c>
      <c r="I3" s="1" t="s">
        <v>133</v>
      </c>
      <c r="J3" s="8" t="s">
        <v>25</v>
      </c>
      <c r="K3" s="1" t="s">
        <v>26</v>
      </c>
    </row>
    <row r="4" spans="1:13" ht="32">
      <c r="A4" s="1">
        <v>3</v>
      </c>
      <c r="B4" s="1" t="s">
        <v>930</v>
      </c>
      <c r="C4" s="1" t="s">
        <v>150</v>
      </c>
      <c r="D4" s="1" t="s">
        <v>151</v>
      </c>
      <c r="E4" s="1" t="s">
        <v>42</v>
      </c>
      <c r="F4" s="1" t="s">
        <v>149</v>
      </c>
      <c r="G4" s="1" t="s">
        <v>152</v>
      </c>
      <c r="H4" s="1" t="s">
        <v>153</v>
      </c>
      <c r="I4" s="1" t="s">
        <v>154</v>
      </c>
      <c r="J4" s="8" t="s">
        <v>25</v>
      </c>
      <c r="K4" s="1" t="s">
        <v>26</v>
      </c>
    </row>
    <row r="5" spans="1:13" ht="32">
      <c r="A5" s="1">
        <v>4</v>
      </c>
      <c r="B5" s="1" t="s">
        <v>931</v>
      </c>
      <c r="C5" s="1" t="s">
        <v>155</v>
      </c>
      <c r="D5" s="1" t="s">
        <v>151</v>
      </c>
      <c r="E5" s="1" t="s">
        <v>20</v>
      </c>
      <c r="F5" s="1" t="s">
        <v>149</v>
      </c>
      <c r="G5" s="1" t="s">
        <v>156</v>
      </c>
      <c r="H5" s="1" t="s">
        <v>157</v>
      </c>
      <c r="I5" s="1" t="s">
        <v>158</v>
      </c>
      <c r="J5" s="8" t="s">
        <v>25</v>
      </c>
      <c r="K5" s="1" t="s">
        <v>26</v>
      </c>
    </row>
    <row r="6" spans="1:13" ht="32">
      <c r="A6" s="1">
        <v>5</v>
      </c>
      <c r="B6" s="1" t="s">
        <v>932</v>
      </c>
      <c r="C6" s="1" t="s">
        <v>180</v>
      </c>
      <c r="D6" s="1" t="s">
        <v>181</v>
      </c>
      <c r="E6" s="1" t="s">
        <v>20</v>
      </c>
      <c r="F6" s="1" t="s">
        <v>179</v>
      </c>
      <c r="G6" s="1" t="s">
        <v>182</v>
      </c>
      <c r="H6" s="1" t="s">
        <v>183</v>
      </c>
      <c r="I6" s="1" t="s">
        <v>184</v>
      </c>
      <c r="J6" s="8" t="s">
        <v>25</v>
      </c>
      <c r="K6" s="1" t="s">
        <v>26</v>
      </c>
    </row>
    <row r="7" spans="1:13" ht="32">
      <c r="A7" s="1">
        <v>6</v>
      </c>
      <c r="B7" s="1" t="s">
        <v>933</v>
      </c>
      <c r="C7" s="1" t="s">
        <v>196</v>
      </c>
      <c r="D7" s="1" t="s">
        <v>35</v>
      </c>
      <c r="E7" s="1" t="s">
        <v>42</v>
      </c>
      <c r="F7" s="1" t="s">
        <v>195</v>
      </c>
      <c r="G7" s="1" t="s">
        <v>197</v>
      </c>
      <c r="H7" s="1" t="s">
        <v>198</v>
      </c>
      <c r="I7" s="1" t="s">
        <v>199</v>
      </c>
      <c r="J7" s="8" t="s">
        <v>25</v>
      </c>
      <c r="K7" s="1" t="s">
        <v>26</v>
      </c>
    </row>
    <row r="8" spans="1:13" ht="48">
      <c r="A8" s="1">
        <v>7</v>
      </c>
      <c r="B8" s="1" t="s">
        <v>934</v>
      </c>
      <c r="C8" s="1" t="s">
        <v>211</v>
      </c>
      <c r="D8" s="1" t="s">
        <v>212</v>
      </c>
      <c r="E8" s="1" t="s">
        <v>20</v>
      </c>
      <c r="F8" s="1" t="s">
        <v>210</v>
      </c>
      <c r="G8" s="1" t="s">
        <v>213</v>
      </c>
      <c r="H8" s="1" t="s">
        <v>214</v>
      </c>
      <c r="I8" s="1" t="s">
        <v>215</v>
      </c>
      <c r="J8" s="8" t="s">
        <v>25</v>
      </c>
      <c r="K8" s="1" t="s">
        <v>26</v>
      </c>
    </row>
    <row r="9" spans="1:13" ht="32">
      <c r="A9" s="1">
        <v>8</v>
      </c>
      <c r="B9" s="1" t="s">
        <v>935</v>
      </c>
      <c r="C9" s="1" t="s">
        <v>237</v>
      </c>
      <c r="D9" s="1" t="s">
        <v>151</v>
      </c>
      <c r="E9" s="1" t="s">
        <v>42</v>
      </c>
      <c r="F9" s="1" t="s">
        <v>236</v>
      </c>
      <c r="G9" s="1" t="s">
        <v>238</v>
      </c>
      <c r="H9" s="1" t="s">
        <v>239</v>
      </c>
      <c r="I9" s="1" t="s">
        <v>240</v>
      </c>
      <c r="J9" s="8" t="s">
        <v>25</v>
      </c>
      <c r="K9" s="1" t="s">
        <v>26</v>
      </c>
    </row>
    <row r="10" spans="1:13" ht="48">
      <c r="A10" s="1">
        <v>9</v>
      </c>
      <c r="B10" s="1" t="s">
        <v>936</v>
      </c>
      <c r="C10" s="1" t="s">
        <v>298</v>
      </c>
      <c r="D10" s="1" t="s">
        <v>151</v>
      </c>
      <c r="E10" s="1" t="s">
        <v>62</v>
      </c>
      <c r="F10" s="1" t="s">
        <v>297</v>
      </c>
      <c r="G10" s="1" t="s">
        <v>299</v>
      </c>
      <c r="H10" s="1" t="s">
        <v>300</v>
      </c>
      <c r="I10" s="1" t="s">
        <v>301</v>
      </c>
      <c r="J10" s="8" t="s">
        <v>25</v>
      </c>
      <c r="K10" s="1" t="s">
        <v>26</v>
      </c>
    </row>
    <row r="11" spans="1:13" ht="48">
      <c r="A11" s="1">
        <v>10</v>
      </c>
      <c r="B11" s="1" t="s">
        <v>937</v>
      </c>
      <c r="C11" s="1" t="s">
        <v>263</v>
      </c>
      <c r="D11" s="1" t="s">
        <v>264</v>
      </c>
      <c r="E11" s="1" t="s">
        <v>20</v>
      </c>
      <c r="F11" s="1" t="s">
        <v>262</v>
      </c>
      <c r="G11" s="1" t="s">
        <v>265</v>
      </c>
      <c r="H11" s="1" t="s">
        <v>266</v>
      </c>
      <c r="I11" s="1" t="s">
        <v>267</v>
      </c>
      <c r="J11" s="8" t="s">
        <v>25</v>
      </c>
      <c r="K11" s="1" t="s">
        <v>26</v>
      </c>
    </row>
    <row r="12" spans="1:13" ht="48">
      <c r="A12" s="1">
        <v>11</v>
      </c>
      <c r="B12" s="1" t="s">
        <v>938</v>
      </c>
      <c r="C12" s="1" t="s">
        <v>268</v>
      </c>
      <c r="D12" s="1" t="s">
        <v>151</v>
      </c>
      <c r="E12" s="1" t="s">
        <v>42</v>
      </c>
      <c r="F12" s="1" t="s">
        <v>262</v>
      </c>
      <c r="G12" s="1" t="s">
        <v>269</v>
      </c>
      <c r="H12" s="1" t="s">
        <v>270</v>
      </c>
      <c r="I12" s="1" t="s">
        <v>271</v>
      </c>
      <c r="J12" s="8" t="s">
        <v>25</v>
      </c>
      <c r="K12" s="1" t="s">
        <v>26</v>
      </c>
    </row>
  </sheetData>
  <conditionalFormatting sqref="E2:E12">
    <cfRule type="expression" dxfId="2" priority="1">
      <formula>E2="VERY HIGH"</formula>
    </cfRule>
    <cfRule type="expression" dxfId="1" priority="2">
      <formula>E2="HIGH"</formula>
    </cfRule>
    <cfRule type="expression" dxfId="0" priority="3">
      <formula>E2="MEDIUM"</formula>
    </cfRule>
  </conditionalFormatting>
  <dataValidations count="2">
    <dataValidation type="list" sqref="E2:E12" xr:uid="{00000000-0002-0000-0800-000000000000}">
      <formula1>"VERY HIGH,HIGH,MEDIUM"</formula1>
    </dataValidation>
    <dataValidation type="list" sqref="K2:K12" xr:uid="{00000000-0002-0000-0800-000001000000}">
      <formula1>"Not Started,In Progress,Done,Skipped"</formula1>
    </dataValidation>
  </dataValidations>
  <hyperlinks>
    <hyperlink ref="M1" location="'Master Plan'!A1" display="Back to Master Plan" xr:uid="{00000000-0004-0000-0800-000000000000}"/>
    <hyperlink ref="J2" r:id="rId1" xr:uid="{00000000-0004-0000-0800-000001000000}"/>
    <hyperlink ref="J3" r:id="rId2" xr:uid="{00000000-0004-0000-0800-000002000000}"/>
    <hyperlink ref="J4" r:id="rId3" xr:uid="{00000000-0004-0000-0800-000003000000}"/>
    <hyperlink ref="J5" r:id="rId4" xr:uid="{00000000-0004-0000-0800-000004000000}"/>
    <hyperlink ref="J6" r:id="rId5" xr:uid="{00000000-0004-0000-0800-000005000000}"/>
    <hyperlink ref="J7" r:id="rId6" xr:uid="{00000000-0004-0000-0800-000006000000}"/>
    <hyperlink ref="J8" r:id="rId7" xr:uid="{00000000-0004-0000-0800-000007000000}"/>
    <hyperlink ref="J9" r:id="rId8" xr:uid="{00000000-0004-0000-0800-000008000000}"/>
    <hyperlink ref="J10" r:id="rId9" xr:uid="{00000000-0004-0000-0800-000009000000}"/>
    <hyperlink ref="J11" r:id="rId10" xr:uid="{00000000-0004-0000-0800-00000A000000}"/>
    <hyperlink ref="J12" r:id="rId11" xr:uid="{00000000-0004-0000-0800-00000B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S33"/>
  <sheetViews>
    <sheetView workbookViewId="0"/>
  </sheetViews>
  <sheetFormatPr baseColWidth="10" defaultColWidth="8.83203125" defaultRowHeight="15"/>
  <cols>
    <col min="1" max="1" width="18" customWidth="1"/>
    <col min="2" max="2" width="34" customWidth="1"/>
    <col min="3" max="4" width="12" customWidth="1"/>
    <col min="5" max="5" width="13" customWidth="1"/>
    <col min="6" max="6" width="16" customWidth="1"/>
    <col min="7" max="7" width="18" customWidth="1"/>
    <col min="8" max="8" width="48" customWidth="1"/>
    <col min="9" max="9" width="24" customWidth="1"/>
    <col min="10" max="10" width="15" customWidth="1"/>
    <col min="11" max="11" width="38" customWidth="1"/>
    <col min="12" max="12" width="15" customWidth="1"/>
    <col min="13" max="13" width="48" customWidth="1"/>
    <col min="14" max="14" width="14" customWidth="1"/>
    <col min="15" max="15" width="13" customWidth="1"/>
    <col min="16" max="16" width="28" customWidth="1"/>
    <col min="17" max="17" width="42" customWidth="1"/>
  </cols>
  <sheetData>
    <row r="1" spans="1:19" ht="32">
      <c r="A1" s="15" t="s">
        <v>939</v>
      </c>
      <c r="B1" s="15" t="s">
        <v>940</v>
      </c>
      <c r="C1" s="15" t="s">
        <v>941</v>
      </c>
      <c r="D1" s="15" t="s">
        <v>942</v>
      </c>
      <c r="E1" s="15" t="s">
        <v>943</v>
      </c>
      <c r="F1" s="15" t="s">
        <v>944</v>
      </c>
      <c r="G1" s="15" t="s">
        <v>945</v>
      </c>
      <c r="H1" s="15" t="s">
        <v>946</v>
      </c>
      <c r="I1" s="15" t="s">
        <v>947</v>
      </c>
      <c r="J1" s="15" t="s">
        <v>948</v>
      </c>
      <c r="K1" s="15" t="s">
        <v>949</v>
      </c>
      <c r="L1" s="15" t="s">
        <v>950</v>
      </c>
      <c r="M1" s="15" t="s">
        <v>951</v>
      </c>
      <c r="N1" s="15" t="s">
        <v>12</v>
      </c>
      <c r="O1" s="15" t="s">
        <v>952</v>
      </c>
      <c r="P1" s="15" t="s">
        <v>13</v>
      </c>
      <c r="Q1" s="15" t="s">
        <v>953</v>
      </c>
      <c r="S1" s="12" t="s">
        <v>530</v>
      </c>
    </row>
    <row r="2" spans="1:19" ht="32">
      <c r="A2" s="1" t="s">
        <v>954</v>
      </c>
      <c r="B2" s="1" t="s">
        <v>955</v>
      </c>
      <c r="C2" s="1">
        <v>4</v>
      </c>
      <c r="D2" s="1">
        <v>0</v>
      </c>
      <c r="E2" s="17">
        <f t="shared" ref="E2:E26" si="0">IFERROR(MIN(1,D2/C2),0)</f>
        <v>0</v>
      </c>
      <c r="F2" s="1" t="s">
        <v>20</v>
      </c>
      <c r="G2" s="1" t="s">
        <v>20</v>
      </c>
      <c r="H2" s="1" t="s">
        <v>956</v>
      </c>
      <c r="I2" s="1" t="s">
        <v>957</v>
      </c>
      <c r="J2" s="8" t="str">
        <f>HYPERLINK("#'Master Plan'!A1","Open track")</f>
        <v>Open track</v>
      </c>
      <c r="K2" s="1" t="s">
        <v>958</v>
      </c>
      <c r="L2" s="16">
        <v>46421</v>
      </c>
      <c r="M2" s="1" t="s">
        <v>959</v>
      </c>
      <c r="N2" s="1" t="s">
        <v>26</v>
      </c>
      <c r="O2" s="1">
        <f t="shared" ref="O2:O26" si="1">MAX(0,C2-D2)</f>
        <v>4</v>
      </c>
      <c r="P2" s="1"/>
      <c r="Q2" s="1" t="s">
        <v>960</v>
      </c>
    </row>
    <row r="3" spans="1:19" ht="32">
      <c r="A3" s="1" t="s">
        <v>961</v>
      </c>
      <c r="B3" s="1" t="s">
        <v>962</v>
      </c>
      <c r="C3" s="1">
        <v>4</v>
      </c>
      <c r="D3" s="1">
        <v>0</v>
      </c>
      <c r="E3" s="17">
        <f t="shared" si="0"/>
        <v>0</v>
      </c>
      <c r="F3" s="1" t="s">
        <v>20</v>
      </c>
      <c r="G3" s="1" t="s">
        <v>42</v>
      </c>
      <c r="H3" s="1" t="s">
        <v>963</v>
      </c>
      <c r="I3" s="1" t="s">
        <v>52</v>
      </c>
      <c r="J3" s="8" t="s">
        <v>24</v>
      </c>
      <c r="K3" s="1" t="s">
        <v>964</v>
      </c>
      <c r="L3" s="16">
        <v>46379</v>
      </c>
      <c r="M3" s="1" t="s">
        <v>965</v>
      </c>
      <c r="N3" s="1" t="s">
        <v>26</v>
      </c>
      <c r="O3" s="1">
        <f t="shared" si="1"/>
        <v>4</v>
      </c>
      <c r="P3" s="1"/>
      <c r="Q3" s="1" t="s">
        <v>960</v>
      </c>
    </row>
    <row r="4" spans="1:19" ht="32">
      <c r="A4" s="1" t="s">
        <v>966</v>
      </c>
      <c r="B4" s="1" t="s">
        <v>910</v>
      </c>
      <c r="C4" s="1">
        <v>4</v>
      </c>
      <c r="D4" s="1">
        <v>0</v>
      </c>
      <c r="E4" s="17">
        <f t="shared" si="0"/>
        <v>0</v>
      </c>
      <c r="F4" s="1" t="s">
        <v>20</v>
      </c>
      <c r="G4" s="1" t="s">
        <v>20</v>
      </c>
      <c r="H4" s="1" t="s">
        <v>967</v>
      </c>
      <c r="I4" s="1" t="s">
        <v>52</v>
      </c>
      <c r="J4" s="8" t="s">
        <v>24</v>
      </c>
      <c r="K4" s="1" t="s">
        <v>968</v>
      </c>
      <c r="L4" s="16">
        <v>46407</v>
      </c>
      <c r="M4" s="1" t="s">
        <v>969</v>
      </c>
      <c r="N4" s="1" t="s">
        <v>26</v>
      </c>
      <c r="O4" s="1">
        <f t="shared" si="1"/>
        <v>4</v>
      </c>
      <c r="P4" s="1"/>
      <c r="Q4" s="1" t="s">
        <v>960</v>
      </c>
    </row>
    <row r="5" spans="1:19" ht="48">
      <c r="A5" s="1" t="s">
        <v>966</v>
      </c>
      <c r="B5" s="1" t="s">
        <v>900</v>
      </c>
      <c r="C5" s="1">
        <v>4</v>
      </c>
      <c r="D5" s="1">
        <v>0</v>
      </c>
      <c r="E5" s="17">
        <f t="shared" si="0"/>
        <v>0</v>
      </c>
      <c r="F5" s="1" t="s">
        <v>20</v>
      </c>
      <c r="G5" s="1" t="s">
        <v>20</v>
      </c>
      <c r="H5" s="1" t="s">
        <v>970</v>
      </c>
      <c r="I5" s="1" t="s">
        <v>52</v>
      </c>
      <c r="J5" s="8" t="s">
        <v>24</v>
      </c>
      <c r="K5" s="1" t="s">
        <v>971</v>
      </c>
      <c r="L5" s="16">
        <v>46421</v>
      </c>
      <c r="M5" s="1" t="s">
        <v>972</v>
      </c>
      <c r="N5" s="1" t="s">
        <v>26</v>
      </c>
      <c r="O5" s="1">
        <f t="shared" si="1"/>
        <v>4</v>
      </c>
      <c r="P5" s="1"/>
      <c r="Q5" s="1" t="s">
        <v>960</v>
      </c>
    </row>
    <row r="6" spans="1:19" ht="32">
      <c r="A6" s="1" t="s">
        <v>973</v>
      </c>
      <c r="B6" s="1" t="s">
        <v>974</v>
      </c>
      <c r="C6" s="1">
        <v>3</v>
      </c>
      <c r="D6" s="1">
        <v>0</v>
      </c>
      <c r="E6" s="17">
        <f t="shared" si="0"/>
        <v>0</v>
      </c>
      <c r="F6" s="1" t="s">
        <v>42</v>
      </c>
      <c r="G6" s="1" t="s">
        <v>42</v>
      </c>
      <c r="H6" s="1" t="s">
        <v>975</v>
      </c>
      <c r="I6" s="1" t="s">
        <v>52</v>
      </c>
      <c r="J6" s="8" t="s">
        <v>24</v>
      </c>
      <c r="K6" s="1" t="s">
        <v>976</v>
      </c>
      <c r="L6" s="16">
        <v>46351</v>
      </c>
      <c r="M6" s="1" t="s">
        <v>977</v>
      </c>
      <c r="N6" s="1" t="s">
        <v>26</v>
      </c>
      <c r="O6" s="1">
        <f t="shared" si="1"/>
        <v>3</v>
      </c>
      <c r="P6" s="1"/>
      <c r="Q6" s="1" t="s">
        <v>960</v>
      </c>
    </row>
    <row r="7" spans="1:19" ht="48">
      <c r="A7" s="1" t="s">
        <v>978</v>
      </c>
      <c r="B7" s="1" t="s">
        <v>979</v>
      </c>
      <c r="C7" s="1">
        <v>3</v>
      </c>
      <c r="D7" s="1">
        <v>0</v>
      </c>
      <c r="E7" s="17">
        <f t="shared" si="0"/>
        <v>0</v>
      </c>
      <c r="F7" s="1" t="s">
        <v>20</v>
      </c>
      <c r="G7" s="1" t="s">
        <v>20</v>
      </c>
      <c r="H7" s="1" t="s">
        <v>980</v>
      </c>
      <c r="I7" s="1" t="s">
        <v>957</v>
      </c>
      <c r="J7" s="8" t="str">
        <f>HYPERLINK("#'Master Plan'!A1","Open track")</f>
        <v>Open track</v>
      </c>
      <c r="K7" s="1" t="s">
        <v>981</v>
      </c>
      <c r="L7" s="16">
        <v>46393</v>
      </c>
      <c r="M7" s="1" t="s">
        <v>982</v>
      </c>
      <c r="N7" s="1" t="s">
        <v>26</v>
      </c>
      <c r="O7" s="1">
        <f t="shared" si="1"/>
        <v>3</v>
      </c>
      <c r="P7" s="1"/>
      <c r="Q7" s="1" t="s">
        <v>960</v>
      </c>
    </row>
    <row r="8" spans="1:19" ht="32">
      <c r="A8" s="1" t="s">
        <v>983</v>
      </c>
      <c r="B8" s="1" t="s">
        <v>984</v>
      </c>
      <c r="C8" s="1">
        <v>4</v>
      </c>
      <c r="D8" s="1">
        <v>0</v>
      </c>
      <c r="E8" s="17">
        <f t="shared" si="0"/>
        <v>0</v>
      </c>
      <c r="F8" s="1" t="s">
        <v>20</v>
      </c>
      <c r="G8" s="1" t="s">
        <v>20</v>
      </c>
      <c r="H8" s="1" t="s">
        <v>985</v>
      </c>
      <c r="I8" s="1" t="s">
        <v>23</v>
      </c>
      <c r="J8" s="8" t="s">
        <v>24</v>
      </c>
      <c r="K8" s="1" t="s">
        <v>986</v>
      </c>
      <c r="L8" s="16">
        <v>46421</v>
      </c>
      <c r="M8" s="1" t="s">
        <v>987</v>
      </c>
      <c r="N8" s="1" t="s">
        <v>26</v>
      </c>
      <c r="O8" s="1">
        <f t="shared" si="1"/>
        <v>4</v>
      </c>
      <c r="P8" s="1"/>
      <c r="Q8" s="1" t="s">
        <v>960</v>
      </c>
    </row>
    <row r="9" spans="1:19" ht="32">
      <c r="A9" s="1" t="s">
        <v>983</v>
      </c>
      <c r="B9" s="1" t="s">
        <v>988</v>
      </c>
      <c r="C9" s="1">
        <v>4</v>
      </c>
      <c r="D9" s="1">
        <v>0</v>
      </c>
      <c r="E9" s="17">
        <f t="shared" si="0"/>
        <v>0</v>
      </c>
      <c r="F9" s="1" t="s">
        <v>20</v>
      </c>
      <c r="G9" s="1" t="s">
        <v>20</v>
      </c>
      <c r="H9" s="1" t="s">
        <v>989</v>
      </c>
      <c r="I9" s="1" t="s">
        <v>23</v>
      </c>
      <c r="J9" s="8" t="s">
        <v>24</v>
      </c>
      <c r="K9" s="1" t="s">
        <v>990</v>
      </c>
      <c r="L9" s="16">
        <v>46330</v>
      </c>
      <c r="M9" s="1" t="s">
        <v>991</v>
      </c>
      <c r="N9" s="1" t="s">
        <v>26</v>
      </c>
      <c r="O9" s="1">
        <f t="shared" si="1"/>
        <v>4</v>
      </c>
      <c r="P9" s="1"/>
      <c r="Q9" s="1" t="s">
        <v>960</v>
      </c>
    </row>
    <row r="10" spans="1:19" ht="32">
      <c r="A10" s="1" t="s">
        <v>992</v>
      </c>
      <c r="B10" s="1" t="s">
        <v>659</v>
      </c>
      <c r="C10" s="1">
        <v>4</v>
      </c>
      <c r="D10" s="1">
        <v>0</v>
      </c>
      <c r="E10" s="17">
        <f t="shared" si="0"/>
        <v>0</v>
      </c>
      <c r="F10" s="1" t="s">
        <v>20</v>
      </c>
      <c r="G10" s="1" t="s">
        <v>20</v>
      </c>
      <c r="H10" s="1" t="s">
        <v>993</v>
      </c>
      <c r="I10" s="1" t="s">
        <v>23</v>
      </c>
      <c r="J10" s="8" t="s">
        <v>24</v>
      </c>
      <c r="K10" s="1" t="s">
        <v>994</v>
      </c>
      <c r="L10" s="16">
        <v>46344</v>
      </c>
      <c r="M10" s="1" t="s">
        <v>995</v>
      </c>
      <c r="N10" s="1" t="s">
        <v>26</v>
      </c>
      <c r="O10" s="1">
        <f t="shared" si="1"/>
        <v>4</v>
      </c>
      <c r="P10" s="1"/>
      <c r="Q10" s="1" t="s">
        <v>960</v>
      </c>
    </row>
    <row r="11" spans="1:19" ht="48">
      <c r="A11" s="1" t="s">
        <v>992</v>
      </c>
      <c r="B11" s="1" t="s">
        <v>996</v>
      </c>
      <c r="C11" s="1">
        <v>4</v>
      </c>
      <c r="D11" s="1">
        <v>0</v>
      </c>
      <c r="E11" s="17">
        <f t="shared" si="0"/>
        <v>0</v>
      </c>
      <c r="F11" s="1" t="s">
        <v>20</v>
      </c>
      <c r="G11" s="1" t="s">
        <v>42</v>
      </c>
      <c r="H11" s="1" t="s">
        <v>997</v>
      </c>
      <c r="I11" s="1" t="s">
        <v>23</v>
      </c>
      <c r="J11" s="8" t="s">
        <v>24</v>
      </c>
      <c r="K11" s="1" t="s">
        <v>998</v>
      </c>
      <c r="L11" s="16">
        <v>46428</v>
      </c>
      <c r="M11" s="1" t="s">
        <v>999</v>
      </c>
      <c r="N11" s="1" t="s">
        <v>26</v>
      </c>
      <c r="O11" s="1">
        <f t="shared" si="1"/>
        <v>4</v>
      </c>
      <c r="P11" s="1"/>
      <c r="Q11" s="1" t="s">
        <v>960</v>
      </c>
    </row>
    <row r="12" spans="1:19" ht="48">
      <c r="A12" s="1" t="s">
        <v>983</v>
      </c>
      <c r="B12" s="1" t="s">
        <v>1000</v>
      </c>
      <c r="C12" s="1">
        <v>4</v>
      </c>
      <c r="D12" s="1">
        <v>0</v>
      </c>
      <c r="E12" s="17">
        <f t="shared" si="0"/>
        <v>0</v>
      </c>
      <c r="F12" s="1" t="s">
        <v>20</v>
      </c>
      <c r="G12" s="1" t="s">
        <v>20</v>
      </c>
      <c r="H12" s="1" t="s">
        <v>1001</v>
      </c>
      <c r="I12" s="1" t="s">
        <v>23</v>
      </c>
      <c r="J12" s="8" t="s">
        <v>24</v>
      </c>
      <c r="K12" s="1" t="s">
        <v>1002</v>
      </c>
      <c r="L12" s="16">
        <v>46414</v>
      </c>
      <c r="M12" s="1" t="s">
        <v>1003</v>
      </c>
      <c r="N12" s="1" t="s">
        <v>26</v>
      </c>
      <c r="O12" s="1">
        <f t="shared" si="1"/>
        <v>4</v>
      </c>
      <c r="P12" s="1"/>
      <c r="Q12" s="1" t="s">
        <v>960</v>
      </c>
    </row>
    <row r="13" spans="1:19" ht="32">
      <c r="A13" s="1" t="s">
        <v>1004</v>
      </c>
      <c r="B13" s="1" t="s">
        <v>1005</v>
      </c>
      <c r="C13" s="1">
        <v>4</v>
      </c>
      <c r="D13" s="1">
        <v>0</v>
      </c>
      <c r="E13" s="17">
        <f t="shared" si="0"/>
        <v>0</v>
      </c>
      <c r="F13" s="1" t="s">
        <v>20</v>
      </c>
      <c r="G13" s="1" t="s">
        <v>20</v>
      </c>
      <c r="H13" s="1" t="s">
        <v>1006</v>
      </c>
      <c r="I13" s="1" t="s">
        <v>23</v>
      </c>
      <c r="J13" s="8" t="s">
        <v>24</v>
      </c>
      <c r="K13" s="1" t="s">
        <v>1007</v>
      </c>
      <c r="L13" s="16">
        <v>46400</v>
      </c>
      <c r="M13" s="1" t="s">
        <v>1008</v>
      </c>
      <c r="N13" s="1" t="s">
        <v>26</v>
      </c>
      <c r="O13" s="1">
        <f t="shared" si="1"/>
        <v>4</v>
      </c>
      <c r="P13" s="1"/>
      <c r="Q13" s="1" t="s">
        <v>960</v>
      </c>
    </row>
    <row r="14" spans="1:19" ht="48">
      <c r="A14" s="1" t="s">
        <v>1009</v>
      </c>
      <c r="B14" s="1" t="s">
        <v>1010</v>
      </c>
      <c r="C14" s="1">
        <v>4</v>
      </c>
      <c r="D14" s="1">
        <v>0</v>
      </c>
      <c r="E14" s="17">
        <f t="shared" si="0"/>
        <v>0</v>
      </c>
      <c r="F14" s="1" t="s">
        <v>20</v>
      </c>
      <c r="G14" s="1" t="s">
        <v>20</v>
      </c>
      <c r="H14" s="1" t="s">
        <v>1011</v>
      </c>
      <c r="I14" s="1" t="s">
        <v>105</v>
      </c>
      <c r="J14" s="8" t="s">
        <v>24</v>
      </c>
      <c r="K14" s="1" t="s">
        <v>1012</v>
      </c>
      <c r="L14" s="16">
        <v>46358</v>
      </c>
      <c r="M14" s="1" t="s">
        <v>1013</v>
      </c>
      <c r="N14" s="1" t="s">
        <v>26</v>
      </c>
      <c r="O14" s="1">
        <f t="shared" si="1"/>
        <v>4</v>
      </c>
      <c r="P14" s="1"/>
      <c r="Q14" s="1" t="s">
        <v>960</v>
      </c>
    </row>
    <row r="15" spans="1:19" ht="32">
      <c r="A15" s="1" t="s">
        <v>1009</v>
      </c>
      <c r="B15" s="1" t="s">
        <v>1014</v>
      </c>
      <c r="C15" s="1">
        <v>3</v>
      </c>
      <c r="D15" s="1">
        <v>0</v>
      </c>
      <c r="E15" s="17">
        <f t="shared" si="0"/>
        <v>0</v>
      </c>
      <c r="F15" s="1" t="s">
        <v>20</v>
      </c>
      <c r="G15" s="1" t="s">
        <v>42</v>
      </c>
      <c r="H15" s="1" t="s">
        <v>1015</v>
      </c>
      <c r="I15" s="1" t="s">
        <v>105</v>
      </c>
      <c r="J15" s="8" t="s">
        <v>24</v>
      </c>
      <c r="K15" s="1" t="s">
        <v>1016</v>
      </c>
      <c r="L15" s="16">
        <v>46379</v>
      </c>
      <c r="M15" s="1" t="s">
        <v>1017</v>
      </c>
      <c r="N15" s="1" t="s">
        <v>26</v>
      </c>
      <c r="O15" s="1">
        <f t="shared" si="1"/>
        <v>3</v>
      </c>
      <c r="P15" s="1"/>
      <c r="Q15" s="1" t="s">
        <v>960</v>
      </c>
    </row>
    <row r="16" spans="1:19" ht="32">
      <c r="A16" s="1" t="s">
        <v>1018</v>
      </c>
      <c r="B16" s="1" t="s">
        <v>1019</v>
      </c>
      <c r="C16" s="1">
        <v>3</v>
      </c>
      <c r="D16" s="1">
        <v>0</v>
      </c>
      <c r="E16" s="17">
        <f t="shared" si="0"/>
        <v>0</v>
      </c>
      <c r="F16" s="1" t="s">
        <v>20</v>
      </c>
      <c r="G16" s="1" t="s">
        <v>42</v>
      </c>
      <c r="H16" s="1" t="s">
        <v>1020</v>
      </c>
      <c r="I16" s="1" t="s">
        <v>105</v>
      </c>
      <c r="J16" s="8" t="s">
        <v>24</v>
      </c>
      <c r="K16" s="1" t="s">
        <v>1021</v>
      </c>
      <c r="L16" s="16">
        <v>46407</v>
      </c>
      <c r="M16" s="1" t="s">
        <v>1022</v>
      </c>
      <c r="N16" s="1" t="s">
        <v>26</v>
      </c>
      <c r="O16" s="1">
        <f t="shared" si="1"/>
        <v>3</v>
      </c>
      <c r="P16" s="1"/>
      <c r="Q16" s="1" t="s">
        <v>960</v>
      </c>
    </row>
    <row r="17" spans="1:17" ht="48">
      <c r="A17" s="1" t="s">
        <v>1023</v>
      </c>
      <c r="B17" s="1" t="s">
        <v>1024</v>
      </c>
      <c r="C17" s="1">
        <v>4</v>
      </c>
      <c r="D17" s="1">
        <v>0</v>
      </c>
      <c r="E17" s="17">
        <f t="shared" si="0"/>
        <v>0</v>
      </c>
      <c r="F17" s="1" t="s">
        <v>20</v>
      </c>
      <c r="G17" s="1" t="s">
        <v>20</v>
      </c>
      <c r="H17" s="1" t="s">
        <v>1025</v>
      </c>
      <c r="I17" s="1" t="s">
        <v>23</v>
      </c>
      <c r="J17" s="8" t="s">
        <v>24</v>
      </c>
      <c r="K17" s="1" t="s">
        <v>1026</v>
      </c>
      <c r="L17" s="16">
        <v>46428</v>
      </c>
      <c r="M17" s="1" t="s">
        <v>1027</v>
      </c>
      <c r="N17" s="1" t="s">
        <v>26</v>
      </c>
      <c r="O17" s="1">
        <f t="shared" si="1"/>
        <v>4</v>
      </c>
      <c r="P17" s="1"/>
      <c r="Q17" s="1" t="s">
        <v>960</v>
      </c>
    </row>
    <row r="18" spans="1:17" ht="48">
      <c r="A18" s="1" t="s">
        <v>1028</v>
      </c>
      <c r="B18" s="1" t="s">
        <v>1029</v>
      </c>
      <c r="C18" s="1">
        <v>4</v>
      </c>
      <c r="D18" s="1">
        <v>0</v>
      </c>
      <c r="E18" s="17">
        <f t="shared" si="0"/>
        <v>0</v>
      </c>
      <c r="F18" s="1" t="s">
        <v>20</v>
      </c>
      <c r="G18" s="1" t="s">
        <v>20</v>
      </c>
      <c r="H18" s="1" t="s">
        <v>1030</v>
      </c>
      <c r="I18" s="1" t="s">
        <v>23</v>
      </c>
      <c r="J18" s="8" t="s">
        <v>24</v>
      </c>
      <c r="K18" s="1" t="s">
        <v>1031</v>
      </c>
      <c r="L18" s="16">
        <v>46435</v>
      </c>
      <c r="M18" s="1" t="s">
        <v>1032</v>
      </c>
      <c r="N18" s="1" t="s">
        <v>26</v>
      </c>
      <c r="O18" s="1">
        <f t="shared" si="1"/>
        <v>4</v>
      </c>
      <c r="P18" s="1"/>
      <c r="Q18" s="1" t="s">
        <v>960</v>
      </c>
    </row>
    <row r="19" spans="1:17" ht="32">
      <c r="A19" s="1" t="s">
        <v>1033</v>
      </c>
      <c r="B19" s="1" t="s">
        <v>1034</v>
      </c>
      <c r="C19" s="1">
        <v>4</v>
      </c>
      <c r="D19" s="1">
        <v>0</v>
      </c>
      <c r="E19" s="17">
        <f t="shared" si="0"/>
        <v>0</v>
      </c>
      <c r="F19" s="1" t="s">
        <v>20</v>
      </c>
      <c r="G19" s="1" t="s">
        <v>20</v>
      </c>
      <c r="H19" s="1" t="s">
        <v>1035</v>
      </c>
      <c r="I19" s="1" t="s">
        <v>23</v>
      </c>
      <c r="J19" s="8" t="s">
        <v>24</v>
      </c>
      <c r="K19" s="1" t="s">
        <v>1036</v>
      </c>
      <c r="L19" s="16">
        <v>46435</v>
      </c>
      <c r="M19" s="1" t="s">
        <v>1037</v>
      </c>
      <c r="N19" s="1" t="s">
        <v>26</v>
      </c>
      <c r="O19" s="1">
        <f t="shared" si="1"/>
        <v>4</v>
      </c>
      <c r="P19" s="1"/>
      <c r="Q19" s="1" t="s">
        <v>960</v>
      </c>
    </row>
    <row r="20" spans="1:17" ht="32">
      <c r="A20" s="1" t="s">
        <v>703</v>
      </c>
      <c r="B20" s="1" t="s">
        <v>1038</v>
      </c>
      <c r="C20" s="1">
        <v>4</v>
      </c>
      <c r="D20" s="1">
        <v>0</v>
      </c>
      <c r="E20" s="17">
        <f t="shared" si="0"/>
        <v>0</v>
      </c>
      <c r="F20" s="1" t="s">
        <v>20</v>
      </c>
      <c r="G20" s="1" t="s">
        <v>20</v>
      </c>
      <c r="H20" s="1" t="s">
        <v>1039</v>
      </c>
      <c r="I20" s="1" t="s">
        <v>23</v>
      </c>
      <c r="J20" s="8" t="s">
        <v>24</v>
      </c>
      <c r="K20" s="1" t="s">
        <v>1040</v>
      </c>
      <c r="L20" s="16">
        <v>46435</v>
      </c>
      <c r="M20" s="1" t="s">
        <v>1041</v>
      </c>
      <c r="N20" s="1" t="s">
        <v>26</v>
      </c>
      <c r="O20" s="1">
        <f t="shared" si="1"/>
        <v>4</v>
      </c>
      <c r="P20" s="1"/>
      <c r="Q20" s="1" t="s">
        <v>960</v>
      </c>
    </row>
    <row r="21" spans="1:17" ht="48">
      <c r="A21" s="1" t="s">
        <v>1042</v>
      </c>
      <c r="B21" s="1" t="s">
        <v>1043</v>
      </c>
      <c r="C21" s="1">
        <v>3</v>
      </c>
      <c r="D21" s="1">
        <v>0</v>
      </c>
      <c r="E21" s="17">
        <f t="shared" si="0"/>
        <v>0</v>
      </c>
      <c r="F21" s="1" t="s">
        <v>42</v>
      </c>
      <c r="G21" s="1" t="s">
        <v>20</v>
      </c>
      <c r="H21" s="1" t="s">
        <v>1044</v>
      </c>
      <c r="I21" s="1" t="s">
        <v>52</v>
      </c>
      <c r="J21" s="8" t="s">
        <v>24</v>
      </c>
      <c r="K21" s="1" t="s">
        <v>1045</v>
      </c>
      <c r="L21" s="16">
        <v>46421</v>
      </c>
      <c r="M21" s="1" t="s">
        <v>1046</v>
      </c>
      <c r="N21" s="1" t="s">
        <v>26</v>
      </c>
      <c r="O21" s="1">
        <f t="shared" si="1"/>
        <v>3</v>
      </c>
      <c r="P21" s="1"/>
      <c r="Q21" s="1" t="s">
        <v>960</v>
      </c>
    </row>
    <row r="22" spans="1:17" ht="48">
      <c r="A22" s="1" t="s">
        <v>1047</v>
      </c>
      <c r="B22" s="1" t="s">
        <v>1048</v>
      </c>
      <c r="C22" s="1">
        <v>4</v>
      </c>
      <c r="D22" s="1">
        <v>0</v>
      </c>
      <c r="E22" s="17">
        <f t="shared" si="0"/>
        <v>0</v>
      </c>
      <c r="F22" s="1" t="s">
        <v>20</v>
      </c>
      <c r="G22" s="1" t="s">
        <v>20</v>
      </c>
      <c r="H22" s="1" t="s">
        <v>1049</v>
      </c>
      <c r="I22" s="1" t="s">
        <v>23</v>
      </c>
      <c r="J22" s="8" t="s">
        <v>24</v>
      </c>
      <c r="K22" s="1" t="s">
        <v>1050</v>
      </c>
      <c r="L22" s="16">
        <v>46414</v>
      </c>
      <c r="M22" s="1" t="s">
        <v>1051</v>
      </c>
      <c r="N22" s="1" t="s">
        <v>26</v>
      </c>
      <c r="O22" s="1">
        <f t="shared" si="1"/>
        <v>4</v>
      </c>
      <c r="P22" s="1"/>
      <c r="Q22" s="1" t="s">
        <v>960</v>
      </c>
    </row>
    <row r="23" spans="1:17" ht="48">
      <c r="A23" s="1" t="s">
        <v>1052</v>
      </c>
      <c r="B23" s="1" t="s">
        <v>1053</v>
      </c>
      <c r="C23" s="1">
        <v>4</v>
      </c>
      <c r="D23" s="1">
        <v>0</v>
      </c>
      <c r="E23" s="17">
        <f t="shared" si="0"/>
        <v>0</v>
      </c>
      <c r="F23" s="1" t="s">
        <v>42</v>
      </c>
      <c r="G23" s="1" t="s">
        <v>20</v>
      </c>
      <c r="H23" s="1" t="s">
        <v>1054</v>
      </c>
      <c r="I23" s="1" t="s">
        <v>344</v>
      </c>
      <c r="J23" s="8" t="s">
        <v>24</v>
      </c>
      <c r="K23" s="1" t="s">
        <v>1055</v>
      </c>
      <c r="L23" s="16">
        <v>46414</v>
      </c>
      <c r="M23" s="1" t="s">
        <v>1056</v>
      </c>
      <c r="N23" s="1" t="s">
        <v>26</v>
      </c>
      <c r="O23" s="1">
        <f t="shared" si="1"/>
        <v>4</v>
      </c>
      <c r="P23" s="1"/>
      <c r="Q23" s="1" t="s">
        <v>960</v>
      </c>
    </row>
    <row r="24" spans="1:17" ht="32">
      <c r="A24" s="1" t="s">
        <v>1052</v>
      </c>
      <c r="B24" s="1" t="s">
        <v>1057</v>
      </c>
      <c r="C24" s="1">
        <v>4</v>
      </c>
      <c r="D24" s="1">
        <v>0</v>
      </c>
      <c r="E24" s="17">
        <f t="shared" si="0"/>
        <v>0</v>
      </c>
      <c r="F24" s="1" t="s">
        <v>42</v>
      </c>
      <c r="G24" s="1" t="s">
        <v>20</v>
      </c>
      <c r="H24" s="1" t="s">
        <v>1058</v>
      </c>
      <c r="I24" s="1" t="s">
        <v>344</v>
      </c>
      <c r="J24" s="8" t="s">
        <v>24</v>
      </c>
      <c r="K24" s="1" t="s">
        <v>1059</v>
      </c>
      <c r="L24" s="16">
        <v>46428</v>
      </c>
      <c r="M24" s="1" t="s">
        <v>1060</v>
      </c>
      <c r="N24" s="1" t="s">
        <v>26</v>
      </c>
      <c r="O24" s="1">
        <f t="shared" si="1"/>
        <v>4</v>
      </c>
      <c r="P24" s="1"/>
      <c r="Q24" s="1" t="s">
        <v>960</v>
      </c>
    </row>
    <row r="25" spans="1:17" ht="32">
      <c r="A25" s="1" t="s">
        <v>1052</v>
      </c>
      <c r="B25" s="1" t="s">
        <v>1061</v>
      </c>
      <c r="C25" s="1">
        <v>3</v>
      </c>
      <c r="D25" s="1">
        <v>0</v>
      </c>
      <c r="E25" s="17">
        <f t="shared" si="0"/>
        <v>0</v>
      </c>
      <c r="F25" s="1" t="s">
        <v>42</v>
      </c>
      <c r="G25" s="1" t="s">
        <v>20</v>
      </c>
      <c r="H25" s="1" t="s">
        <v>1062</v>
      </c>
      <c r="I25" s="1" t="s">
        <v>344</v>
      </c>
      <c r="J25" s="8" t="s">
        <v>24</v>
      </c>
      <c r="K25" s="1" t="s">
        <v>1063</v>
      </c>
      <c r="L25" s="16">
        <v>46428</v>
      </c>
      <c r="M25" s="1" t="s">
        <v>1064</v>
      </c>
      <c r="N25" s="1" t="s">
        <v>26</v>
      </c>
      <c r="O25" s="1">
        <f t="shared" si="1"/>
        <v>3</v>
      </c>
      <c r="P25" s="1"/>
      <c r="Q25" s="1" t="s">
        <v>960</v>
      </c>
    </row>
    <row r="26" spans="1:17" ht="32">
      <c r="A26" s="1" t="s">
        <v>723</v>
      </c>
      <c r="B26" s="1" t="s">
        <v>1065</v>
      </c>
      <c r="C26" s="1">
        <v>4</v>
      </c>
      <c r="D26" s="1">
        <v>0</v>
      </c>
      <c r="E26" s="17">
        <f t="shared" si="0"/>
        <v>0</v>
      </c>
      <c r="F26" s="1" t="s">
        <v>20</v>
      </c>
      <c r="G26" s="1" t="s">
        <v>20</v>
      </c>
      <c r="H26" s="1" t="s">
        <v>1066</v>
      </c>
      <c r="I26" s="1" t="s">
        <v>23</v>
      </c>
      <c r="J26" s="8" t="s">
        <v>24</v>
      </c>
      <c r="K26" s="1" t="s">
        <v>1067</v>
      </c>
      <c r="L26" s="16">
        <v>46435</v>
      </c>
      <c r="M26" s="1" t="s">
        <v>1068</v>
      </c>
      <c r="N26" s="1" t="s">
        <v>26</v>
      </c>
      <c r="O26" s="1">
        <f t="shared" si="1"/>
        <v>4</v>
      </c>
      <c r="P26" s="1"/>
      <c r="Q26" s="1" t="s">
        <v>960</v>
      </c>
    </row>
    <row r="29" spans="1:17">
      <c r="A29" s="19" t="s">
        <v>1069</v>
      </c>
      <c r="B29" s="19" t="s">
        <v>479</v>
      </c>
      <c r="C29" s="19"/>
      <c r="D29" s="19" t="s">
        <v>1070</v>
      </c>
      <c r="E29" s="19"/>
      <c r="F29" s="19"/>
    </row>
    <row r="30" spans="1:17">
      <c r="A30" t="s">
        <v>1071</v>
      </c>
      <c r="B30" s="18">
        <f>AVERAGE(E2:E26)</f>
        <v>0</v>
      </c>
      <c r="D30" t="s">
        <v>1072</v>
      </c>
      <c r="E30" t="s">
        <v>1073</v>
      </c>
    </row>
    <row r="31" spans="1:17">
      <c r="A31" t="s">
        <v>1074</v>
      </c>
      <c r="B31">
        <f>COUNTIF(O2:O26,0)</f>
        <v>0</v>
      </c>
      <c r="D31" t="s">
        <v>1075</v>
      </c>
      <c r="E31" t="s">
        <v>1076</v>
      </c>
    </row>
    <row r="32" spans="1:17">
      <c r="A32" t="s">
        <v>1077</v>
      </c>
      <c r="B32">
        <f>COUNTIF(N2:N26,"Interview Ready")</f>
        <v>0</v>
      </c>
      <c r="D32" t="s">
        <v>1078</v>
      </c>
      <c r="E32" t="s">
        <v>1079</v>
      </c>
    </row>
    <row r="33" spans="1:5">
      <c r="A33" t="s">
        <v>1080</v>
      </c>
      <c r="B33">
        <v>25</v>
      </c>
      <c r="D33" t="s">
        <v>1081</v>
      </c>
      <c r="E33" t="s">
        <v>1082</v>
      </c>
    </row>
  </sheetData>
  <conditionalFormatting sqref="E2:E26">
    <cfRule type="colorScale" priority="1">
      <colorScale>
        <cfvo type="min"/>
        <cfvo type="percentile" val="50"/>
        <cfvo type="max"/>
        <color rgb="FFF4CCCC"/>
        <color rgb="FFFFF2CC"/>
        <color rgb="FFD9EAD3"/>
      </colorScale>
    </cfRule>
  </conditionalFormatting>
  <conditionalFormatting sqref="O2:O26">
    <cfRule type="dataBar" priority="2">
      <dataBar>
        <cfvo type="min"/>
        <cfvo type="max"/>
        <color rgb="FFC65911"/>
      </dataBar>
    </cfRule>
    <cfRule type="dataBar" priority="3">
      <dataBar>
        <cfvo type="min"/>
        <cfvo type="max"/>
        <color rgb="FFC65911"/>
      </dataBar>
      <extLst>
        <ext xmlns:x14="http://schemas.microsoft.com/office/spreadsheetml/2009/9/main" uri="{B025F937-C7B1-47D3-B67F-A62EFF666E3E}">
          <x14:id>{13B6E626-E5E7-4F72-A25E-AA8E32B3F792}</x14:id>
        </ext>
      </extLst>
    </cfRule>
  </conditionalFormatting>
  <dataValidations count="2">
    <dataValidation type="list" sqref="D2:D26" xr:uid="{00000000-0002-0000-0900-000000000000}">
      <formula1>"0,1,2,3,4"</formula1>
    </dataValidation>
    <dataValidation type="list" sqref="N2:N26" xr:uid="{00000000-0002-0000-0900-000001000000}">
      <formula1>"Not Started,In Progress,Evidence Ready,Interview Ready"</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13B6E626-E5E7-4F72-A25E-AA8E32B3F792}">
            <x14:dataBar>
              <x14:cfvo type="min"/>
              <x14:cfvo type="max"/>
              <x14:negativeFillColor auto="1"/>
              <x14:axisColor auto="1"/>
            </x14:dataBar>
          </x14:cfRule>
          <xm:sqref>O2:O26</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110"/>
  <sheetViews>
    <sheetView workbookViewId="0"/>
  </sheetViews>
  <sheetFormatPr baseColWidth="10" defaultColWidth="8.83203125" defaultRowHeight="15"/>
  <cols>
    <col min="1" max="1" width="18" customWidth="1"/>
    <col min="2" max="2" width="42" customWidth="1"/>
    <col min="3" max="3" width="46" customWidth="1"/>
    <col min="4" max="4" width="23" customWidth="1"/>
    <col min="5" max="5" width="22" customWidth="1"/>
    <col min="6" max="6" width="34" customWidth="1"/>
    <col min="7" max="7" width="17" customWidth="1"/>
    <col min="8" max="8" width="16" customWidth="1"/>
  </cols>
  <sheetData>
    <row r="1" spans="1:8" ht="40" customHeight="1">
      <c r="A1" s="31" t="s">
        <v>1083</v>
      </c>
      <c r="B1" s="31"/>
      <c r="C1" s="31"/>
      <c r="D1" s="31"/>
      <c r="E1" s="31"/>
      <c r="F1" s="31"/>
      <c r="G1" s="31"/>
      <c r="H1" s="31"/>
    </row>
    <row r="2" spans="1:8" ht="56" customHeight="1">
      <c r="A2" s="26" t="s">
        <v>1084</v>
      </c>
      <c r="B2" s="26"/>
      <c r="C2" s="26"/>
      <c r="D2" s="26"/>
      <c r="E2" s="26"/>
      <c r="F2" s="26"/>
      <c r="G2" s="26"/>
      <c r="H2" s="26"/>
    </row>
    <row r="3" spans="1:8">
      <c r="A3" s="1"/>
      <c r="B3" s="1"/>
      <c r="C3" s="1"/>
      <c r="D3" s="1"/>
      <c r="E3" s="1"/>
      <c r="F3" s="1"/>
      <c r="G3" s="1"/>
      <c r="H3" s="1"/>
    </row>
    <row r="4" spans="1:8" ht="32" customHeight="1">
      <c r="A4" s="30" t="s">
        <v>1085</v>
      </c>
      <c r="B4" s="30"/>
      <c r="C4" s="30"/>
      <c r="D4" s="30"/>
      <c r="E4" s="30"/>
      <c r="F4" s="30"/>
      <c r="G4" s="30"/>
      <c r="H4" s="30"/>
    </row>
    <row r="5" spans="1:8" ht="16">
      <c r="A5" s="21" t="s">
        <v>1086</v>
      </c>
      <c r="B5" s="21" t="s">
        <v>479</v>
      </c>
      <c r="C5" s="21" t="s">
        <v>1087</v>
      </c>
      <c r="D5" s="1"/>
      <c r="E5" s="1"/>
      <c r="F5" s="1"/>
      <c r="G5" s="1"/>
      <c r="H5" s="1"/>
    </row>
    <row r="6" spans="1:8" ht="16">
      <c r="A6" s="1" t="s">
        <v>1088</v>
      </c>
      <c r="B6" s="1" t="s">
        <v>1089</v>
      </c>
      <c r="C6" s="1"/>
      <c r="D6" s="1"/>
      <c r="E6" s="1"/>
      <c r="F6" s="1"/>
      <c r="G6" s="1"/>
      <c r="H6" s="1"/>
    </row>
    <row r="7" spans="1:8" ht="32">
      <c r="A7" s="1" t="s">
        <v>1090</v>
      </c>
      <c r="B7" s="1" t="s">
        <v>1091</v>
      </c>
      <c r="C7" s="1" t="s">
        <v>1092</v>
      </c>
      <c r="D7" s="1"/>
      <c r="E7" s="1"/>
      <c r="F7" s="1"/>
      <c r="G7" s="1"/>
      <c r="H7" s="1"/>
    </row>
    <row r="8" spans="1:8" ht="32">
      <c r="A8" s="1" t="s">
        <v>1093</v>
      </c>
      <c r="B8" s="1" t="s">
        <v>1094</v>
      </c>
      <c r="C8" s="1" t="s">
        <v>1095</v>
      </c>
      <c r="D8" s="1"/>
      <c r="E8" s="1"/>
      <c r="F8" s="1"/>
      <c r="G8" s="1"/>
      <c r="H8" s="1"/>
    </row>
    <row r="9" spans="1:8" ht="32">
      <c r="A9" s="1" t="s">
        <v>1096</v>
      </c>
      <c r="B9" s="1" t="s">
        <v>1097</v>
      </c>
      <c r="C9" s="1" t="s">
        <v>1098</v>
      </c>
      <c r="D9" s="1"/>
      <c r="E9" s="1"/>
      <c r="F9" s="1"/>
      <c r="G9" s="1"/>
      <c r="H9" s="1"/>
    </row>
    <row r="10" spans="1:8" ht="32">
      <c r="A10" s="1" t="s">
        <v>1099</v>
      </c>
      <c r="B10" s="1" t="s">
        <v>1100</v>
      </c>
      <c r="C10" s="1" t="s">
        <v>1101</v>
      </c>
      <c r="D10" s="1"/>
      <c r="E10" s="1"/>
      <c r="F10" s="1"/>
      <c r="G10" s="1"/>
      <c r="H10" s="1"/>
    </row>
    <row r="11" spans="1:8" ht="48">
      <c r="A11" s="1" t="s">
        <v>1102</v>
      </c>
      <c r="B11" s="1" t="s">
        <v>1103</v>
      </c>
      <c r="C11" s="1" t="s">
        <v>1104</v>
      </c>
      <c r="D11" s="1"/>
      <c r="E11" s="1"/>
      <c r="F11" s="1"/>
      <c r="G11" s="1"/>
      <c r="H11" s="1"/>
    </row>
    <row r="12" spans="1:8" ht="48">
      <c r="A12" s="1" t="s">
        <v>1105</v>
      </c>
      <c r="B12" s="1" t="s">
        <v>1106</v>
      </c>
      <c r="C12" s="1" t="s">
        <v>1107</v>
      </c>
      <c r="D12" s="1"/>
      <c r="E12" s="1"/>
      <c r="F12" s="1"/>
      <c r="G12" s="1"/>
      <c r="H12" s="1"/>
    </row>
    <row r="13" spans="1:8" ht="32">
      <c r="A13" s="1" t="s">
        <v>1108</v>
      </c>
      <c r="B13" s="1" t="s">
        <v>1109</v>
      </c>
      <c r="C13" s="1" t="s">
        <v>1110</v>
      </c>
      <c r="D13" s="1"/>
      <c r="E13" s="1"/>
      <c r="F13" s="1"/>
      <c r="G13" s="1"/>
      <c r="H13" s="1"/>
    </row>
    <row r="14" spans="1:8" ht="64">
      <c r="A14" s="1" t="s">
        <v>1111</v>
      </c>
      <c r="B14" s="1" t="s">
        <v>1112</v>
      </c>
      <c r="C14" s="1" t="s">
        <v>1113</v>
      </c>
      <c r="D14" s="1"/>
      <c r="E14" s="1"/>
      <c r="F14" s="1"/>
      <c r="G14" s="1"/>
      <c r="H14" s="1"/>
    </row>
    <row r="15" spans="1:8">
      <c r="A15" s="1"/>
      <c r="B15" s="1"/>
      <c r="C15" s="1"/>
      <c r="D15" s="1"/>
      <c r="E15" s="1"/>
      <c r="F15" s="1"/>
      <c r="G15" s="1"/>
      <c r="H15" s="1"/>
    </row>
    <row r="16" spans="1:8" ht="32" customHeight="1">
      <c r="A16" s="30" t="s">
        <v>1114</v>
      </c>
      <c r="B16" s="30"/>
      <c r="C16" s="30"/>
      <c r="D16" s="30"/>
      <c r="E16" s="30"/>
      <c r="F16" s="30"/>
      <c r="G16" s="30"/>
      <c r="H16" s="30"/>
    </row>
    <row r="17" spans="1:8" ht="16">
      <c r="A17" s="21" t="s">
        <v>1115</v>
      </c>
      <c r="B17" s="21" t="s">
        <v>1116</v>
      </c>
      <c r="C17" s="21" t="s">
        <v>1117</v>
      </c>
      <c r="D17" s="21" t="s">
        <v>1118</v>
      </c>
      <c r="E17" s="21" t="s">
        <v>1119</v>
      </c>
      <c r="F17" s="24" t="s">
        <v>12</v>
      </c>
      <c r="G17" s="24"/>
      <c r="H17" s="24"/>
    </row>
    <row r="18" spans="1:8" ht="64">
      <c r="A18" s="1" t="s">
        <v>1120</v>
      </c>
      <c r="B18" s="1" t="s">
        <v>1121</v>
      </c>
      <c r="C18" s="1" t="s">
        <v>1122</v>
      </c>
      <c r="D18" s="1" t="s">
        <v>1123</v>
      </c>
      <c r="E18" s="1" t="s">
        <v>1124</v>
      </c>
      <c r="F18" s="1" t="s">
        <v>1125</v>
      </c>
      <c r="G18" s="16"/>
      <c r="H18" s="1"/>
    </row>
    <row r="19" spans="1:8" ht="80">
      <c r="A19" s="1" t="s">
        <v>1126</v>
      </c>
      <c r="B19" s="1" t="s">
        <v>1121</v>
      </c>
      <c r="C19" s="1" t="s">
        <v>1127</v>
      </c>
      <c r="D19" s="1" t="s">
        <v>1128</v>
      </c>
      <c r="E19" s="1" t="s">
        <v>1129</v>
      </c>
      <c r="F19" s="1" t="s">
        <v>1125</v>
      </c>
      <c r="G19" s="1"/>
      <c r="H19" s="1"/>
    </row>
    <row r="20" spans="1:8" ht="80">
      <c r="A20" s="1" t="s">
        <v>1130</v>
      </c>
      <c r="B20" s="1" t="s">
        <v>1121</v>
      </c>
      <c r="C20" s="1" t="s">
        <v>1131</v>
      </c>
      <c r="D20" s="1" t="s">
        <v>1132</v>
      </c>
      <c r="E20" s="1" t="s">
        <v>1133</v>
      </c>
      <c r="F20" s="1" t="s">
        <v>1125</v>
      </c>
      <c r="G20" s="1"/>
      <c r="H20" s="1"/>
    </row>
    <row r="21" spans="1:8" ht="96">
      <c r="A21" s="1" t="s">
        <v>1134</v>
      </c>
      <c r="B21" s="1" t="s">
        <v>1135</v>
      </c>
      <c r="C21" s="1" t="s">
        <v>1136</v>
      </c>
      <c r="D21" s="1" t="s">
        <v>1137</v>
      </c>
      <c r="E21" s="1" t="s">
        <v>1138</v>
      </c>
      <c r="F21" s="1" t="s">
        <v>1125</v>
      </c>
      <c r="G21" s="1"/>
      <c r="H21" s="1"/>
    </row>
    <row r="22" spans="1:8" ht="64">
      <c r="A22" s="1" t="s">
        <v>1139</v>
      </c>
      <c r="B22" s="1" t="s">
        <v>1135</v>
      </c>
      <c r="C22" s="1" t="s">
        <v>1140</v>
      </c>
      <c r="D22" s="1" t="s">
        <v>1141</v>
      </c>
      <c r="E22" s="1" t="s">
        <v>1142</v>
      </c>
      <c r="F22" s="1" t="s">
        <v>1125</v>
      </c>
      <c r="G22" s="1"/>
      <c r="H22" s="1"/>
    </row>
    <row r="23" spans="1:8" ht="96">
      <c r="A23" s="1" t="s">
        <v>1143</v>
      </c>
      <c r="B23" s="1" t="s">
        <v>1135</v>
      </c>
      <c r="C23" s="1" t="s">
        <v>1144</v>
      </c>
      <c r="D23" s="1" t="s">
        <v>1145</v>
      </c>
      <c r="E23" s="1" t="s">
        <v>1146</v>
      </c>
      <c r="F23" s="1" t="s">
        <v>1125</v>
      </c>
      <c r="G23" s="1"/>
      <c r="H23" s="1"/>
    </row>
    <row r="24" spans="1:8" ht="80">
      <c r="A24" s="1" t="s">
        <v>1147</v>
      </c>
      <c r="B24" s="1" t="s">
        <v>1135</v>
      </c>
      <c r="C24" s="1" t="s">
        <v>1148</v>
      </c>
      <c r="D24" s="1" t="s">
        <v>1149</v>
      </c>
      <c r="E24" s="1" t="s">
        <v>1150</v>
      </c>
      <c r="F24" s="1" t="s">
        <v>1151</v>
      </c>
      <c r="G24" s="1"/>
      <c r="H24" s="1"/>
    </row>
    <row r="25" spans="1:8" ht="32" customHeight="1">
      <c r="A25" s="30" t="s">
        <v>1152</v>
      </c>
      <c r="B25" s="30"/>
      <c r="C25" s="30"/>
      <c r="D25" s="30"/>
      <c r="E25" s="30"/>
      <c r="F25" s="30"/>
      <c r="G25" s="30"/>
      <c r="H25" s="30"/>
    </row>
    <row r="26" spans="1:8" ht="16">
      <c r="A26" s="21" t="s">
        <v>1153</v>
      </c>
      <c r="B26" s="21" t="s">
        <v>1154</v>
      </c>
      <c r="C26" s="21" t="s">
        <v>740</v>
      </c>
      <c r="D26" s="21" t="s">
        <v>1155</v>
      </c>
      <c r="E26" s="21" t="s">
        <v>1156</v>
      </c>
      <c r="F26" s="21" t="s">
        <v>1157</v>
      </c>
      <c r="G26" s="21" t="s">
        <v>1158</v>
      </c>
      <c r="H26" s="21" t="s">
        <v>12</v>
      </c>
    </row>
    <row r="27" spans="1:8" ht="64">
      <c r="A27" s="1" t="s">
        <v>1159</v>
      </c>
      <c r="B27" s="1" t="s">
        <v>1160</v>
      </c>
      <c r="C27" s="8" t="s">
        <v>1161</v>
      </c>
      <c r="D27" s="1" t="s">
        <v>1162</v>
      </c>
      <c r="E27" s="1" t="s">
        <v>1163</v>
      </c>
      <c r="F27" s="1" t="s">
        <v>1164</v>
      </c>
      <c r="G27" s="1" t="s">
        <v>1135</v>
      </c>
      <c r="H27" s="1" t="s">
        <v>1165</v>
      </c>
    </row>
    <row r="28" spans="1:8" ht="64">
      <c r="A28" s="1" t="s">
        <v>1159</v>
      </c>
      <c r="B28" s="1" t="s">
        <v>1166</v>
      </c>
      <c r="C28" s="8" t="s">
        <v>1167</v>
      </c>
      <c r="D28" s="1" t="s">
        <v>1168</v>
      </c>
      <c r="E28" s="1" t="s">
        <v>1169</v>
      </c>
      <c r="F28" s="1" t="s">
        <v>1170</v>
      </c>
      <c r="G28" s="1" t="s">
        <v>1135</v>
      </c>
      <c r="H28" s="1" t="s">
        <v>1165</v>
      </c>
    </row>
    <row r="29" spans="1:8" ht="48">
      <c r="A29" s="1" t="s">
        <v>1171</v>
      </c>
      <c r="B29" s="1" t="s">
        <v>19</v>
      </c>
      <c r="C29" s="8" t="s">
        <v>1172</v>
      </c>
      <c r="D29" s="1" t="s">
        <v>1173</v>
      </c>
      <c r="E29" s="1" t="s">
        <v>1174</v>
      </c>
      <c r="F29" s="1" t="s">
        <v>1175</v>
      </c>
      <c r="G29" s="1" t="s">
        <v>1135</v>
      </c>
      <c r="H29" s="1" t="s">
        <v>1165</v>
      </c>
    </row>
    <row r="30" spans="1:8" ht="48">
      <c r="A30" s="1" t="s">
        <v>1171</v>
      </c>
      <c r="B30" s="1" t="s">
        <v>35</v>
      </c>
      <c r="C30" s="8" t="s">
        <v>1176</v>
      </c>
      <c r="D30" s="1" t="s">
        <v>1177</v>
      </c>
      <c r="E30" s="1" t="s">
        <v>1178</v>
      </c>
      <c r="F30" s="1" t="s">
        <v>1179</v>
      </c>
      <c r="G30" s="1" t="s">
        <v>1135</v>
      </c>
      <c r="H30" s="1" t="s">
        <v>1165</v>
      </c>
    </row>
    <row r="31" spans="1:8" ht="64">
      <c r="A31" s="1" t="s">
        <v>1171</v>
      </c>
      <c r="B31" s="1" t="s">
        <v>1180</v>
      </c>
      <c r="C31" s="8" t="s">
        <v>1181</v>
      </c>
      <c r="D31" s="1" t="s">
        <v>1182</v>
      </c>
      <c r="E31" s="1" t="s">
        <v>1183</v>
      </c>
      <c r="F31" s="1" t="s">
        <v>1184</v>
      </c>
      <c r="G31" s="1" t="s">
        <v>1135</v>
      </c>
      <c r="H31" s="1" t="s">
        <v>1165</v>
      </c>
    </row>
    <row r="32" spans="1:8" ht="64">
      <c r="A32" s="1" t="s">
        <v>1171</v>
      </c>
      <c r="B32" s="1" t="s">
        <v>1185</v>
      </c>
      <c r="C32" s="8" t="s">
        <v>1186</v>
      </c>
      <c r="D32" s="1" t="s">
        <v>1187</v>
      </c>
      <c r="E32" s="1" t="s">
        <v>1188</v>
      </c>
      <c r="F32" s="1" t="s">
        <v>1189</v>
      </c>
      <c r="G32" s="1" t="s">
        <v>1135</v>
      </c>
      <c r="H32" s="1" t="s">
        <v>1165</v>
      </c>
    </row>
    <row r="33" spans="1:8" ht="48">
      <c r="A33" s="1" t="s">
        <v>1171</v>
      </c>
      <c r="B33" s="1" t="s">
        <v>1190</v>
      </c>
      <c r="C33" s="8" t="s">
        <v>592</v>
      </c>
      <c r="D33" s="1" t="s">
        <v>1191</v>
      </c>
      <c r="E33" s="1" t="s">
        <v>1192</v>
      </c>
      <c r="F33" s="1" t="s">
        <v>1193</v>
      </c>
      <c r="G33" s="1" t="s">
        <v>1135</v>
      </c>
      <c r="H33" s="1" t="s">
        <v>745</v>
      </c>
    </row>
    <row r="34" spans="1:8" ht="48">
      <c r="A34" s="1" t="s">
        <v>1171</v>
      </c>
      <c r="B34" s="1" t="s">
        <v>90</v>
      </c>
      <c r="C34" s="8" t="s">
        <v>767</v>
      </c>
      <c r="D34" s="1" t="s">
        <v>1194</v>
      </c>
      <c r="E34" s="1" t="s">
        <v>1195</v>
      </c>
      <c r="F34" s="1" t="s">
        <v>1196</v>
      </c>
      <c r="G34" s="1" t="s">
        <v>1135</v>
      </c>
      <c r="H34" s="1" t="s">
        <v>1165</v>
      </c>
    </row>
    <row r="35" spans="1:8" ht="64">
      <c r="A35" s="1" t="s">
        <v>1171</v>
      </c>
      <c r="B35" s="1" t="s">
        <v>1197</v>
      </c>
      <c r="C35" s="8" t="s">
        <v>1198</v>
      </c>
      <c r="D35" s="1" t="s">
        <v>1199</v>
      </c>
      <c r="E35" s="1" t="s">
        <v>1200</v>
      </c>
      <c r="F35" s="1" t="s">
        <v>1201</v>
      </c>
      <c r="G35" s="1" t="s">
        <v>1135</v>
      </c>
      <c r="H35" s="1" t="s">
        <v>1165</v>
      </c>
    </row>
    <row r="36" spans="1:8" ht="64">
      <c r="A36" s="1" t="s">
        <v>1171</v>
      </c>
      <c r="B36" s="1" t="s">
        <v>1202</v>
      </c>
      <c r="C36" s="8" t="s">
        <v>1203</v>
      </c>
      <c r="D36" s="1" t="s">
        <v>1204</v>
      </c>
      <c r="E36" s="1" t="s">
        <v>1205</v>
      </c>
      <c r="F36" s="1" t="s">
        <v>1206</v>
      </c>
      <c r="G36" s="1" t="s">
        <v>1135</v>
      </c>
      <c r="H36" s="1" t="s">
        <v>1165</v>
      </c>
    </row>
    <row r="37" spans="1:8" ht="48">
      <c r="A37" s="1" t="s">
        <v>1207</v>
      </c>
      <c r="B37" s="1" t="s">
        <v>1208</v>
      </c>
      <c r="C37" s="8" t="s">
        <v>619</v>
      </c>
      <c r="D37" s="1" t="s">
        <v>1209</v>
      </c>
      <c r="E37" s="1" t="s">
        <v>1210</v>
      </c>
      <c r="F37" s="1" t="s">
        <v>1211</v>
      </c>
      <c r="G37" s="1" t="s">
        <v>1135</v>
      </c>
      <c r="H37" s="1" t="s">
        <v>745</v>
      </c>
    </row>
    <row r="38" spans="1:8" ht="32">
      <c r="A38" s="1" t="s">
        <v>1207</v>
      </c>
      <c r="B38" s="1" t="s">
        <v>807</v>
      </c>
      <c r="C38" s="8" t="s">
        <v>812</v>
      </c>
      <c r="D38" s="1" t="s">
        <v>1212</v>
      </c>
      <c r="E38" s="1" t="s">
        <v>1213</v>
      </c>
      <c r="F38" s="1" t="s">
        <v>1214</v>
      </c>
      <c r="G38" s="1" t="s">
        <v>1135</v>
      </c>
      <c r="H38" s="1" t="s">
        <v>745</v>
      </c>
    </row>
    <row r="39" spans="1:8" ht="64">
      <c r="A39" s="1" t="s">
        <v>1207</v>
      </c>
      <c r="B39" s="1" t="s">
        <v>56</v>
      </c>
      <c r="C39" s="8" t="s">
        <v>1215</v>
      </c>
      <c r="D39" s="1" t="s">
        <v>1216</v>
      </c>
      <c r="E39" s="1" t="s">
        <v>1217</v>
      </c>
      <c r="F39" s="1" t="s">
        <v>1218</v>
      </c>
      <c r="G39" s="1" t="s">
        <v>1135</v>
      </c>
      <c r="H39" s="1" t="s">
        <v>745</v>
      </c>
    </row>
    <row r="40" spans="1:8" ht="32">
      <c r="A40" s="1" t="s">
        <v>1207</v>
      </c>
      <c r="B40" s="1" t="s">
        <v>1219</v>
      </c>
      <c r="C40" s="8" t="s">
        <v>842</v>
      </c>
      <c r="D40" s="1" t="s">
        <v>1220</v>
      </c>
      <c r="E40" s="1" t="s">
        <v>1221</v>
      </c>
      <c r="F40" s="1" t="s">
        <v>1222</v>
      </c>
      <c r="G40" s="1" t="s">
        <v>1135</v>
      </c>
      <c r="H40" s="1" t="s">
        <v>745</v>
      </c>
    </row>
    <row r="41" spans="1:8" ht="32">
      <c r="A41" s="1" t="s">
        <v>1223</v>
      </c>
      <c r="B41" s="1" t="s">
        <v>1224</v>
      </c>
      <c r="C41" s="8" t="s">
        <v>818</v>
      </c>
      <c r="D41" s="1" t="s">
        <v>1225</v>
      </c>
      <c r="E41" s="1" t="s">
        <v>1226</v>
      </c>
      <c r="F41" s="1" t="s">
        <v>1227</v>
      </c>
      <c r="G41" s="1" t="s">
        <v>1135</v>
      </c>
      <c r="H41" s="1" t="s">
        <v>1228</v>
      </c>
    </row>
    <row r="42" spans="1:8" ht="48">
      <c r="A42" s="1" t="s">
        <v>1223</v>
      </c>
      <c r="B42" s="1" t="s">
        <v>109</v>
      </c>
      <c r="C42" s="8" t="s">
        <v>1229</v>
      </c>
      <c r="D42" s="1" t="s">
        <v>1230</v>
      </c>
      <c r="E42" s="1" t="s">
        <v>1231</v>
      </c>
      <c r="F42" s="1" t="s">
        <v>1232</v>
      </c>
      <c r="G42" s="1" t="s">
        <v>1135</v>
      </c>
      <c r="H42" s="1" t="s">
        <v>757</v>
      </c>
    </row>
    <row r="43" spans="1:8" ht="64">
      <c r="A43" s="1" t="s">
        <v>1233</v>
      </c>
      <c r="B43" s="1" t="s">
        <v>115</v>
      </c>
      <c r="C43" s="8" t="s">
        <v>1234</v>
      </c>
      <c r="D43" s="1" t="s">
        <v>1235</v>
      </c>
      <c r="E43" s="1" t="s">
        <v>1192</v>
      </c>
      <c r="F43" s="1" t="s">
        <v>1236</v>
      </c>
      <c r="G43" s="1" t="s">
        <v>1135</v>
      </c>
      <c r="H43" s="1" t="s">
        <v>757</v>
      </c>
    </row>
    <row r="44" spans="1:8" ht="64">
      <c r="A44" s="1" t="s">
        <v>1233</v>
      </c>
      <c r="B44" s="1" t="s">
        <v>372</v>
      </c>
      <c r="C44" s="8" t="s">
        <v>1237</v>
      </c>
      <c r="D44" s="1" t="s">
        <v>1238</v>
      </c>
      <c r="E44" s="1" t="s">
        <v>1192</v>
      </c>
      <c r="F44" s="1" t="s">
        <v>1239</v>
      </c>
      <c r="G44" s="1" t="s">
        <v>1135</v>
      </c>
      <c r="H44" s="1" t="s">
        <v>757</v>
      </c>
    </row>
    <row r="45" spans="1:8" ht="64">
      <c r="A45" s="1" t="s">
        <v>1240</v>
      </c>
      <c r="B45" s="1" t="s">
        <v>1241</v>
      </c>
      <c r="C45" s="8" t="s">
        <v>1242</v>
      </c>
      <c r="D45" s="1" t="s">
        <v>1243</v>
      </c>
      <c r="E45" s="1" t="s">
        <v>1244</v>
      </c>
      <c r="F45" s="1" t="s">
        <v>1245</v>
      </c>
      <c r="G45" s="1" t="s">
        <v>1135</v>
      </c>
      <c r="H45" s="1" t="s">
        <v>757</v>
      </c>
    </row>
    <row r="46" spans="1:8" ht="48">
      <c r="A46" s="1" t="s">
        <v>1246</v>
      </c>
      <c r="B46" s="1" t="s">
        <v>1247</v>
      </c>
      <c r="C46" s="8" t="s">
        <v>549</v>
      </c>
      <c r="D46" s="1" t="s">
        <v>1248</v>
      </c>
      <c r="E46" s="1" t="s">
        <v>1249</v>
      </c>
      <c r="F46" s="1" t="s">
        <v>1250</v>
      </c>
      <c r="G46" s="1" t="s">
        <v>1135</v>
      </c>
      <c r="H46" s="1" t="s">
        <v>1251</v>
      </c>
    </row>
    <row r="47" spans="1:8">
      <c r="A47" s="1"/>
      <c r="B47" s="1"/>
      <c r="C47" s="1"/>
      <c r="D47" s="1"/>
      <c r="E47" s="1"/>
      <c r="F47" s="1"/>
      <c r="G47" s="1"/>
      <c r="H47" s="1"/>
    </row>
    <row r="48" spans="1:8" ht="32" customHeight="1">
      <c r="A48" s="30" t="s">
        <v>1252</v>
      </c>
      <c r="B48" s="30"/>
      <c r="C48" s="30"/>
      <c r="D48" s="30"/>
      <c r="E48" s="30"/>
      <c r="F48" s="30"/>
      <c r="G48" s="30"/>
      <c r="H48" s="30"/>
    </row>
    <row r="49" spans="1:8" ht="16">
      <c r="A49" s="21" t="s">
        <v>1253</v>
      </c>
      <c r="B49" s="21" t="s">
        <v>1254</v>
      </c>
      <c r="C49" s="21" t="s">
        <v>1255</v>
      </c>
      <c r="D49" s="1"/>
      <c r="E49" s="1"/>
      <c r="F49" s="1"/>
      <c r="G49" s="1"/>
      <c r="H49" s="1"/>
    </row>
    <row r="50" spans="1:8" ht="64">
      <c r="A50" s="1" t="s">
        <v>1256</v>
      </c>
      <c r="B50" s="1" t="s">
        <v>1257</v>
      </c>
      <c r="C50" s="1" t="s">
        <v>1258</v>
      </c>
      <c r="D50" s="1"/>
      <c r="E50" s="1"/>
      <c r="F50" s="1"/>
      <c r="G50" s="1"/>
      <c r="H50" s="1"/>
    </row>
    <row r="51" spans="1:8" ht="48">
      <c r="A51" s="1" t="s">
        <v>1259</v>
      </c>
      <c r="B51" s="1" t="s">
        <v>1260</v>
      </c>
      <c r="C51" s="1" t="s">
        <v>1261</v>
      </c>
      <c r="D51" s="1"/>
      <c r="E51" s="1"/>
      <c r="F51" s="1"/>
      <c r="G51" s="1"/>
      <c r="H51" s="1"/>
    </row>
    <row r="52" spans="1:8" ht="64">
      <c r="A52" s="1" t="s">
        <v>1262</v>
      </c>
      <c r="B52" s="1" t="s">
        <v>1263</v>
      </c>
      <c r="C52" s="1" t="s">
        <v>1264</v>
      </c>
      <c r="D52" s="1"/>
      <c r="E52" s="1"/>
      <c r="F52" s="1"/>
      <c r="G52" s="1"/>
      <c r="H52" s="1"/>
    </row>
    <row r="53" spans="1:8" ht="64">
      <c r="A53" s="1" t="s">
        <v>1265</v>
      </c>
      <c r="B53" s="1" t="s">
        <v>1266</v>
      </c>
      <c r="C53" s="1" t="s">
        <v>1267</v>
      </c>
      <c r="D53" s="1"/>
      <c r="E53" s="1"/>
      <c r="F53" s="1"/>
      <c r="G53" s="1"/>
      <c r="H53" s="1"/>
    </row>
    <row r="54" spans="1:8" ht="64">
      <c r="A54" s="1" t="s">
        <v>1268</v>
      </c>
      <c r="B54" s="1" t="s">
        <v>1269</v>
      </c>
      <c r="C54" s="1" t="s">
        <v>1270</v>
      </c>
      <c r="D54" s="1"/>
      <c r="E54" s="1"/>
      <c r="F54" s="1"/>
      <c r="G54" s="1"/>
      <c r="H54" s="1"/>
    </row>
    <row r="55" spans="1:8" ht="64">
      <c r="A55" s="1" t="s">
        <v>1271</v>
      </c>
      <c r="B55" s="1" t="s">
        <v>1272</v>
      </c>
      <c r="C55" s="1" t="s">
        <v>1273</v>
      </c>
      <c r="D55" s="1"/>
      <c r="E55" s="1"/>
      <c r="F55" s="1"/>
      <c r="G55" s="1"/>
      <c r="H55" s="1"/>
    </row>
    <row r="56" spans="1:8" ht="64">
      <c r="A56" s="1" t="s">
        <v>508</v>
      </c>
      <c r="B56" s="1" t="s">
        <v>1274</v>
      </c>
      <c r="C56" s="1" t="s">
        <v>1275</v>
      </c>
      <c r="D56" s="1"/>
      <c r="E56" s="1"/>
      <c r="F56" s="1"/>
      <c r="G56" s="1"/>
      <c r="H56" s="1"/>
    </row>
    <row r="57" spans="1:8" ht="64">
      <c r="A57" s="1" t="s">
        <v>1276</v>
      </c>
      <c r="B57" s="1" t="s">
        <v>1277</v>
      </c>
      <c r="C57" s="1" t="s">
        <v>1278</v>
      </c>
      <c r="D57" s="1"/>
      <c r="E57" s="1"/>
      <c r="F57" s="1"/>
      <c r="G57" s="1"/>
      <c r="H57" s="1"/>
    </row>
    <row r="58" spans="1:8" ht="64">
      <c r="A58" s="1" t="s">
        <v>1279</v>
      </c>
      <c r="B58" s="1" t="s">
        <v>1280</v>
      </c>
      <c r="C58" s="1" t="s">
        <v>1281</v>
      </c>
      <c r="D58" s="1"/>
      <c r="E58" s="1"/>
      <c r="F58" s="1"/>
      <c r="G58" s="1"/>
      <c r="H58" s="1"/>
    </row>
    <row r="59" spans="1:8" ht="48">
      <c r="A59" s="1" t="s">
        <v>1282</v>
      </c>
      <c r="B59" s="1" t="s">
        <v>1283</v>
      </c>
      <c r="C59" s="1" t="s">
        <v>1284</v>
      </c>
      <c r="D59" s="1"/>
      <c r="E59" s="1"/>
      <c r="F59" s="1"/>
      <c r="G59" s="1"/>
      <c r="H59" s="1"/>
    </row>
    <row r="60" spans="1:8" ht="48">
      <c r="A60" s="1" t="s">
        <v>1285</v>
      </c>
      <c r="B60" s="1" t="s">
        <v>1286</v>
      </c>
      <c r="C60" s="1" t="s">
        <v>1287</v>
      </c>
      <c r="D60" s="1"/>
      <c r="E60" s="1"/>
      <c r="F60" s="1"/>
      <c r="G60" s="1"/>
      <c r="H60" s="1"/>
    </row>
    <row r="61" spans="1:8" ht="64">
      <c r="A61" s="1" t="s">
        <v>1288</v>
      </c>
      <c r="B61" s="1" t="s">
        <v>1289</v>
      </c>
      <c r="C61" s="1" t="s">
        <v>1290</v>
      </c>
      <c r="D61" s="1"/>
      <c r="E61" s="1"/>
      <c r="F61" s="1"/>
      <c r="G61" s="1"/>
      <c r="H61" s="1"/>
    </row>
    <row r="62" spans="1:8">
      <c r="A62" s="1"/>
      <c r="B62" s="1"/>
      <c r="C62" s="1"/>
      <c r="D62" s="1"/>
      <c r="E62" s="1"/>
      <c r="F62" s="1"/>
      <c r="G62" s="1"/>
      <c r="H62" s="1"/>
    </row>
    <row r="63" spans="1:8" ht="32" customHeight="1">
      <c r="A63" s="30" t="s">
        <v>1291</v>
      </c>
      <c r="B63" s="30"/>
      <c r="C63" s="30"/>
      <c r="D63" s="30"/>
      <c r="E63" s="30"/>
      <c r="F63" s="30"/>
      <c r="G63" s="30"/>
      <c r="H63" s="30"/>
    </row>
    <row r="64" spans="1:8" ht="16">
      <c r="A64" s="21" t="s">
        <v>642</v>
      </c>
      <c r="B64" s="21" t="s">
        <v>1292</v>
      </c>
      <c r="C64" s="21" t="s">
        <v>1293</v>
      </c>
      <c r="D64" s="21" t="s">
        <v>1294</v>
      </c>
      <c r="E64" s="21" t="s">
        <v>1295</v>
      </c>
      <c r="F64" s="21" t="s">
        <v>1296</v>
      </c>
      <c r="G64" s="21" t="s">
        <v>1297</v>
      </c>
      <c r="H64" s="21" t="s">
        <v>1298</v>
      </c>
    </row>
    <row r="65" spans="1:8" ht="32">
      <c r="A65" s="1">
        <v>1</v>
      </c>
      <c r="B65" s="1" t="s">
        <v>1299</v>
      </c>
      <c r="C65" s="1" t="s">
        <v>1300</v>
      </c>
      <c r="D65" s="1" t="s">
        <v>1301</v>
      </c>
      <c r="E65" s="1" t="s">
        <v>1302</v>
      </c>
      <c r="F65" s="1" t="s">
        <v>1303</v>
      </c>
      <c r="G65" s="1" t="s">
        <v>1135</v>
      </c>
      <c r="H65" s="1" t="s">
        <v>1304</v>
      </c>
    </row>
    <row r="66" spans="1:8" ht="48">
      <c r="A66" s="1">
        <v>2</v>
      </c>
      <c r="B66" s="1" t="s">
        <v>1305</v>
      </c>
      <c r="C66" s="1" t="s">
        <v>1306</v>
      </c>
      <c r="D66" s="1" t="s">
        <v>1307</v>
      </c>
      <c r="E66" s="1" t="s">
        <v>1308</v>
      </c>
      <c r="F66" s="1" t="s">
        <v>1309</v>
      </c>
      <c r="G66" s="1" t="s">
        <v>1135</v>
      </c>
      <c r="H66" s="1" t="s">
        <v>1310</v>
      </c>
    </row>
    <row r="67" spans="1:8" ht="48">
      <c r="A67" s="1">
        <v>3</v>
      </c>
      <c r="B67" s="1" t="s">
        <v>1311</v>
      </c>
      <c r="C67" s="1" t="s">
        <v>1312</v>
      </c>
      <c r="D67" s="1" t="s">
        <v>1313</v>
      </c>
      <c r="E67" s="1" t="s">
        <v>1314</v>
      </c>
      <c r="F67" s="1" t="s">
        <v>1309</v>
      </c>
      <c r="G67" s="1" t="s">
        <v>1135</v>
      </c>
      <c r="H67" s="1" t="s">
        <v>1304</v>
      </c>
    </row>
    <row r="68" spans="1:8" ht="48">
      <c r="A68" s="1">
        <v>4</v>
      </c>
      <c r="B68" s="1" t="s">
        <v>1315</v>
      </c>
      <c r="C68" s="1" t="s">
        <v>1316</v>
      </c>
      <c r="D68" s="1" t="s">
        <v>1317</v>
      </c>
      <c r="E68" s="1" t="s">
        <v>1314</v>
      </c>
      <c r="F68" s="1" t="s">
        <v>1309</v>
      </c>
      <c r="G68" s="1" t="s">
        <v>1135</v>
      </c>
      <c r="H68" s="1" t="s">
        <v>1304</v>
      </c>
    </row>
    <row r="69" spans="1:8" ht="64">
      <c r="A69" s="1">
        <v>5</v>
      </c>
      <c r="B69" s="1" t="s">
        <v>1318</v>
      </c>
      <c r="C69" s="1" t="s">
        <v>1319</v>
      </c>
      <c r="D69" s="1" t="s">
        <v>1320</v>
      </c>
      <c r="E69" s="1" t="s">
        <v>1192</v>
      </c>
      <c r="F69" s="1" t="s">
        <v>1309</v>
      </c>
      <c r="G69" s="1" t="s">
        <v>1135</v>
      </c>
      <c r="H69" s="1" t="s">
        <v>1321</v>
      </c>
    </row>
    <row r="70" spans="1:8" ht="96">
      <c r="A70" s="1">
        <v>6</v>
      </c>
      <c r="B70" s="1" t="s">
        <v>1322</v>
      </c>
      <c r="C70" s="1" t="s">
        <v>1323</v>
      </c>
      <c r="D70" s="1" t="s">
        <v>1324</v>
      </c>
      <c r="E70" s="1" t="s">
        <v>1192</v>
      </c>
      <c r="F70" s="1" t="s">
        <v>1309</v>
      </c>
      <c r="G70" s="1" t="s">
        <v>1135</v>
      </c>
      <c r="H70" s="1" t="s">
        <v>1325</v>
      </c>
    </row>
    <row r="71" spans="1:8" ht="32">
      <c r="A71" s="1">
        <v>7</v>
      </c>
      <c r="B71" s="1" t="s">
        <v>1326</v>
      </c>
      <c r="C71" s="1" t="s">
        <v>1327</v>
      </c>
      <c r="D71" s="1" t="s">
        <v>1328</v>
      </c>
      <c r="E71" s="1" t="s">
        <v>1192</v>
      </c>
      <c r="F71" s="1" t="s">
        <v>1303</v>
      </c>
      <c r="G71" s="1" t="s">
        <v>1135</v>
      </c>
      <c r="H71" s="1" t="s">
        <v>1304</v>
      </c>
    </row>
    <row r="72" spans="1:8" ht="32">
      <c r="A72" s="1">
        <v>8</v>
      </c>
      <c r="B72" s="1" t="s">
        <v>1329</v>
      </c>
      <c r="C72" s="1" t="s">
        <v>1330</v>
      </c>
      <c r="D72" s="1" t="s">
        <v>1331</v>
      </c>
      <c r="E72" s="1" t="s">
        <v>1308</v>
      </c>
      <c r="F72" s="1" t="s">
        <v>1332</v>
      </c>
      <c r="G72" s="1" t="s">
        <v>1135</v>
      </c>
      <c r="H72" s="1" t="s">
        <v>1333</v>
      </c>
    </row>
    <row r="73" spans="1:8" ht="32">
      <c r="A73" s="1">
        <v>9</v>
      </c>
      <c r="B73" s="1" t="s">
        <v>1334</v>
      </c>
      <c r="C73" s="1" t="s">
        <v>1335</v>
      </c>
      <c r="D73" s="1" t="s">
        <v>1336</v>
      </c>
      <c r="E73" s="1" t="s">
        <v>1244</v>
      </c>
      <c r="F73" s="1" t="s">
        <v>1303</v>
      </c>
      <c r="G73" s="1" t="s">
        <v>1135</v>
      </c>
      <c r="H73" s="1" t="s">
        <v>1337</v>
      </c>
    </row>
    <row r="74" spans="1:8" ht="32">
      <c r="A74" s="1">
        <v>10</v>
      </c>
      <c r="B74" s="1" t="s">
        <v>1338</v>
      </c>
      <c r="C74" s="1" t="s">
        <v>1339</v>
      </c>
      <c r="D74" s="1" t="s">
        <v>1340</v>
      </c>
      <c r="E74" s="1" t="s">
        <v>1302</v>
      </c>
      <c r="F74" s="1" t="s">
        <v>1309</v>
      </c>
      <c r="G74" s="1" t="s">
        <v>1135</v>
      </c>
      <c r="H74" s="1" t="s">
        <v>1341</v>
      </c>
    </row>
    <row r="75" spans="1:8">
      <c r="A75" s="1"/>
      <c r="B75" s="1"/>
      <c r="C75" s="1"/>
      <c r="D75" s="1"/>
      <c r="E75" s="1"/>
      <c r="F75" s="1"/>
      <c r="G75" s="1"/>
      <c r="H75" s="1"/>
    </row>
    <row r="76" spans="1:8" ht="32" customHeight="1">
      <c r="A76" s="30" t="s">
        <v>1342</v>
      </c>
      <c r="B76" s="30"/>
      <c r="C76" s="30"/>
      <c r="D76" s="30"/>
      <c r="E76" s="30"/>
      <c r="F76" s="30"/>
      <c r="G76" s="30"/>
      <c r="H76" s="30"/>
    </row>
    <row r="77" spans="1:8" ht="409.5" customHeight="1">
      <c r="A77" s="23" t="s">
        <v>1343</v>
      </c>
      <c r="B77" s="1" t="s">
        <v>1344</v>
      </c>
      <c r="C77" s="1"/>
      <c r="D77" s="1"/>
      <c r="E77" s="1"/>
      <c r="F77" s="1"/>
      <c r="G77" s="1"/>
      <c r="H77" s="1"/>
    </row>
    <row r="78" spans="1:8">
      <c r="A78" s="1"/>
      <c r="B78" s="1"/>
      <c r="C78" s="1"/>
      <c r="D78" s="1"/>
      <c r="E78" s="1"/>
      <c r="F78" s="1"/>
      <c r="G78" s="1"/>
      <c r="H78" s="1"/>
    </row>
    <row r="79" spans="1:8" ht="32" customHeight="1">
      <c r="A79" s="30" t="s">
        <v>1345</v>
      </c>
      <c r="B79" s="30"/>
      <c r="C79" s="30"/>
      <c r="D79" s="30"/>
      <c r="E79" s="30"/>
      <c r="F79" s="30"/>
      <c r="G79" s="30"/>
      <c r="H79" s="30"/>
    </row>
    <row r="80" spans="1:8" ht="16">
      <c r="A80" s="21" t="s">
        <v>1346</v>
      </c>
      <c r="B80" s="21" t="s">
        <v>1347</v>
      </c>
      <c r="C80" s="21" t="s">
        <v>1348</v>
      </c>
      <c r="D80" s="1"/>
      <c r="E80" s="1"/>
      <c r="F80" s="1"/>
      <c r="G80" s="1"/>
      <c r="H80" s="1"/>
    </row>
    <row r="81" spans="1:8" ht="32">
      <c r="A81" s="1">
        <v>1</v>
      </c>
      <c r="B81" s="1" t="s">
        <v>1349</v>
      </c>
      <c r="C81" s="1" t="s">
        <v>1350</v>
      </c>
      <c r="D81" s="1"/>
      <c r="E81" s="1"/>
      <c r="F81" s="1"/>
      <c r="G81" s="1"/>
      <c r="H81" s="1"/>
    </row>
    <row r="82" spans="1:8" ht="32">
      <c r="A82" s="1">
        <v>2</v>
      </c>
      <c r="B82" s="1" t="s">
        <v>1351</v>
      </c>
      <c r="C82" s="1" t="s">
        <v>1352</v>
      </c>
      <c r="D82" s="1"/>
      <c r="E82" s="1"/>
      <c r="F82" s="1"/>
      <c r="G82" s="1"/>
      <c r="H82" s="1"/>
    </row>
    <row r="83" spans="1:8" ht="48">
      <c r="A83" s="1">
        <v>3</v>
      </c>
      <c r="B83" s="1" t="s">
        <v>1353</v>
      </c>
      <c r="C83" s="1" t="s">
        <v>1354</v>
      </c>
      <c r="D83" s="1"/>
      <c r="E83" s="1"/>
      <c r="F83" s="1"/>
      <c r="G83" s="1"/>
      <c r="H83" s="1"/>
    </row>
    <row r="84" spans="1:8" ht="32">
      <c r="A84" s="1">
        <v>4</v>
      </c>
      <c r="B84" s="1" t="s">
        <v>1355</v>
      </c>
      <c r="C84" s="1" t="s">
        <v>1356</v>
      </c>
      <c r="D84" s="1"/>
      <c r="E84" s="1"/>
      <c r="F84" s="1"/>
      <c r="G84" s="1"/>
      <c r="H84" s="1"/>
    </row>
    <row r="85" spans="1:8" ht="32">
      <c r="A85" s="1">
        <v>5</v>
      </c>
      <c r="B85" s="1" t="s">
        <v>1357</v>
      </c>
      <c r="C85" s="1" t="s">
        <v>1358</v>
      </c>
      <c r="D85" s="1"/>
      <c r="E85" s="1"/>
      <c r="F85" s="1"/>
      <c r="G85" s="1"/>
      <c r="H85" s="1"/>
    </row>
    <row r="86" spans="1:8" ht="32">
      <c r="A86" s="1">
        <v>6</v>
      </c>
      <c r="B86" s="1" t="s">
        <v>1359</v>
      </c>
      <c r="C86" s="1" t="s">
        <v>1360</v>
      </c>
      <c r="D86" s="1"/>
      <c r="E86" s="1"/>
      <c r="F86" s="1"/>
      <c r="G86" s="1"/>
      <c r="H86" s="1"/>
    </row>
    <row r="87" spans="1:8">
      <c r="A87" s="1"/>
      <c r="B87" s="1"/>
      <c r="C87" s="1"/>
      <c r="D87" s="1"/>
      <c r="E87" s="1"/>
      <c r="F87" s="1"/>
      <c r="G87" s="1"/>
      <c r="H87" s="1"/>
    </row>
    <row r="88" spans="1:8" ht="32" customHeight="1">
      <c r="A88" s="30" t="s">
        <v>1361</v>
      </c>
      <c r="B88" s="30"/>
      <c r="C88" s="30"/>
      <c r="D88" s="30"/>
      <c r="E88" s="30"/>
      <c r="F88" s="30"/>
      <c r="G88" s="30"/>
      <c r="H88" s="30"/>
    </row>
    <row r="89" spans="1:8" ht="16">
      <c r="A89" s="21" t="s">
        <v>1362</v>
      </c>
      <c r="B89" s="21" t="s">
        <v>1363</v>
      </c>
      <c r="C89" s="21" t="s">
        <v>1347</v>
      </c>
      <c r="D89" s="1"/>
      <c r="E89" s="1"/>
      <c r="F89" s="1"/>
      <c r="G89" s="1"/>
      <c r="H89" s="1"/>
    </row>
    <row r="90" spans="1:8" ht="48">
      <c r="A90" s="1" t="s">
        <v>1364</v>
      </c>
      <c r="B90" s="1" t="s">
        <v>1365</v>
      </c>
      <c r="C90" s="1" t="s">
        <v>1366</v>
      </c>
      <c r="D90" s="1"/>
      <c r="E90" s="1"/>
      <c r="F90" s="1"/>
      <c r="G90" s="1"/>
      <c r="H90" s="1"/>
    </row>
    <row r="91" spans="1:8" ht="48">
      <c r="A91" s="1" t="s">
        <v>1367</v>
      </c>
      <c r="B91" s="1" t="s">
        <v>1368</v>
      </c>
      <c r="C91" s="1" t="s">
        <v>1369</v>
      </c>
      <c r="D91" s="1"/>
      <c r="E91" s="1"/>
      <c r="F91" s="1"/>
      <c r="G91" s="1"/>
      <c r="H91" s="1"/>
    </row>
    <row r="92" spans="1:8" ht="48">
      <c r="A92" s="1" t="s">
        <v>1370</v>
      </c>
      <c r="B92" s="1" t="s">
        <v>1371</v>
      </c>
      <c r="C92" s="1" t="s">
        <v>1372</v>
      </c>
      <c r="D92" s="1"/>
      <c r="E92" s="1"/>
      <c r="F92" s="1"/>
      <c r="G92" s="1"/>
      <c r="H92" s="1"/>
    </row>
    <row r="93" spans="1:8" ht="48">
      <c r="A93" s="1" t="s">
        <v>1373</v>
      </c>
      <c r="B93" s="1" t="s">
        <v>1374</v>
      </c>
      <c r="C93" s="1" t="s">
        <v>1375</v>
      </c>
      <c r="D93" s="1"/>
      <c r="E93" s="1"/>
      <c r="F93" s="1"/>
      <c r="G93" s="1"/>
      <c r="H93" s="1"/>
    </row>
    <row r="94" spans="1:8" ht="32">
      <c r="A94" s="1" t="s">
        <v>1376</v>
      </c>
      <c r="B94" s="1" t="s">
        <v>1377</v>
      </c>
      <c r="C94" s="1" t="s">
        <v>1378</v>
      </c>
      <c r="D94" s="1"/>
      <c r="E94" s="1"/>
      <c r="F94" s="1"/>
      <c r="G94" s="1"/>
      <c r="H94" s="1"/>
    </row>
    <row r="95" spans="1:8" ht="32">
      <c r="A95" s="1" t="s">
        <v>1379</v>
      </c>
      <c r="B95" s="1" t="s">
        <v>1380</v>
      </c>
      <c r="C95" s="1" t="s">
        <v>1381</v>
      </c>
      <c r="D95" s="1"/>
      <c r="E95" s="1"/>
      <c r="F95" s="1"/>
      <c r="G95" s="1"/>
      <c r="H95" s="1"/>
    </row>
    <row r="96" spans="1:8" ht="48">
      <c r="A96" s="1" t="s">
        <v>1382</v>
      </c>
      <c r="B96" s="1" t="s">
        <v>1383</v>
      </c>
      <c r="C96" s="1" t="s">
        <v>1384</v>
      </c>
      <c r="D96" s="1"/>
      <c r="E96" s="1"/>
      <c r="F96" s="1"/>
      <c r="G96" s="1"/>
      <c r="H96" s="1"/>
    </row>
    <row r="97" spans="1:8">
      <c r="A97" s="1"/>
      <c r="B97" s="1"/>
      <c r="C97" s="1"/>
      <c r="D97" s="1"/>
      <c r="E97" s="1"/>
      <c r="F97" s="1"/>
      <c r="G97" s="1"/>
      <c r="H97" s="1"/>
    </row>
    <row r="98" spans="1:8" ht="32" customHeight="1">
      <c r="A98" s="30" t="s">
        <v>1385</v>
      </c>
      <c r="B98" s="30"/>
      <c r="C98" s="30"/>
      <c r="D98" s="30"/>
      <c r="E98" s="30"/>
      <c r="F98" s="30"/>
      <c r="G98" s="30"/>
      <c r="H98" s="30"/>
    </row>
    <row r="99" spans="1:8" ht="16">
      <c r="A99" s="21" t="s">
        <v>1386</v>
      </c>
      <c r="B99" s="21" t="s">
        <v>1387</v>
      </c>
      <c r="C99" s="21" t="s">
        <v>925</v>
      </c>
      <c r="D99" s="1"/>
      <c r="E99" s="1"/>
      <c r="F99" s="1"/>
      <c r="G99" s="1"/>
      <c r="H99" s="1"/>
    </row>
    <row r="100" spans="1:8" ht="16">
      <c r="A100" s="1" t="s">
        <v>957</v>
      </c>
      <c r="B100" s="1" t="s">
        <v>1388</v>
      </c>
      <c r="C100" s="8" t="str">
        <f>HYPERLINK("#'Master Plan'!A1","Open")</f>
        <v>Open</v>
      </c>
      <c r="D100" s="1"/>
      <c r="E100" s="1"/>
      <c r="F100" s="1"/>
      <c r="G100" s="1"/>
      <c r="H100" s="1"/>
    </row>
    <row r="101" spans="1:8" ht="16">
      <c r="A101" s="1" t="s">
        <v>1389</v>
      </c>
      <c r="B101" s="1" t="s">
        <v>1390</v>
      </c>
      <c r="C101" s="8" t="str">
        <f>HYPERLINK("#'Dashboard'!A1","Open")</f>
        <v>Open</v>
      </c>
      <c r="D101" s="1"/>
      <c r="E101" s="1"/>
      <c r="F101" s="1"/>
      <c r="G101" s="1"/>
      <c r="H101" s="1"/>
    </row>
    <row r="102" spans="1:8" ht="16">
      <c r="A102" s="1" t="s">
        <v>1391</v>
      </c>
      <c r="B102" s="1" t="s">
        <v>1392</v>
      </c>
      <c r="C102" s="8" t="str">
        <f>HYPERLINK("#'Competency Matrix'!A1","Open")</f>
        <v>Open</v>
      </c>
      <c r="D102" s="1"/>
      <c r="E102" s="1"/>
      <c r="F102" s="1"/>
      <c r="G102" s="1"/>
      <c r="H102" s="1"/>
    </row>
    <row r="103" spans="1:8" ht="16">
      <c r="A103" s="1" t="s">
        <v>23</v>
      </c>
      <c r="B103" s="1" t="s">
        <v>1393</v>
      </c>
      <c r="C103" s="8" t="str">
        <f>HYPERLINK("#'Roadmap'!A1","Open")</f>
        <v>Open</v>
      </c>
      <c r="D103" s="1"/>
      <c r="E103" s="1"/>
      <c r="F103" s="1"/>
      <c r="G103" s="1"/>
      <c r="H103" s="1"/>
    </row>
    <row r="104" spans="1:8" ht="16">
      <c r="A104" s="1" t="s">
        <v>1394</v>
      </c>
      <c r="B104" s="1" t="s">
        <v>1395</v>
      </c>
      <c r="C104" s="8" t="str">
        <f>HYPERLINK("#'Hands-On Labs'!A1","Open")</f>
        <v>Open</v>
      </c>
      <c r="D104" s="1"/>
      <c r="E104" s="1"/>
      <c r="F104" s="1"/>
      <c r="G104" s="1"/>
      <c r="H104" s="1"/>
    </row>
    <row r="105" spans="1:8" ht="16">
      <c r="A105" s="1" t="s">
        <v>105</v>
      </c>
      <c r="B105" s="1" t="s">
        <v>1396</v>
      </c>
      <c r="C105" s="8" t="str">
        <f>HYPERLINK("#'Data + RAG Track'!A1","Open")</f>
        <v>Open</v>
      </c>
      <c r="D105" s="1"/>
      <c r="E105" s="1"/>
      <c r="F105" s="1"/>
      <c r="G105" s="1"/>
      <c r="H105" s="1"/>
    </row>
    <row r="106" spans="1:8" ht="32">
      <c r="A106" s="1" t="s">
        <v>52</v>
      </c>
      <c r="B106" s="1" t="s">
        <v>1397</v>
      </c>
      <c r="C106" s="8" t="str">
        <f>HYPERLINK("#'CS + Interview Track'!A1","Open")</f>
        <v>Open</v>
      </c>
      <c r="D106" s="1"/>
      <c r="E106" s="1"/>
      <c r="F106" s="1"/>
      <c r="G106" s="1"/>
      <c r="H106" s="1"/>
    </row>
    <row r="107" spans="1:8" ht="32">
      <c r="A107" s="1" t="s">
        <v>344</v>
      </c>
      <c r="B107" s="1" t="s">
        <v>1398</v>
      </c>
      <c r="C107" s="8" t="str">
        <f>HYPERLINK("#'Stanford Research Track'!A1","Open")</f>
        <v>Open</v>
      </c>
      <c r="D107" s="1"/>
      <c r="E107" s="1"/>
      <c r="F107" s="1"/>
      <c r="G107" s="1"/>
      <c r="H107" s="1"/>
    </row>
    <row r="108" spans="1:8" ht="16">
      <c r="A108" s="1" t="s">
        <v>1399</v>
      </c>
      <c r="B108" s="1" t="s">
        <v>1400</v>
      </c>
      <c r="C108" s="8" t="str">
        <f>HYPERLINK("#'Platform Library'!A1","Open")</f>
        <v>Open</v>
      </c>
      <c r="D108" s="1"/>
      <c r="E108" s="1"/>
      <c r="F108" s="1"/>
      <c r="G108" s="1"/>
      <c r="H108" s="1"/>
    </row>
    <row r="109" spans="1:8" ht="16">
      <c r="A109" s="1" t="s">
        <v>1401</v>
      </c>
      <c r="B109" s="1" t="s">
        <v>1402</v>
      </c>
      <c r="C109" s="8" t="str">
        <f>HYPERLINK("#'20-Week Plan'!A1","Open")</f>
        <v>Open</v>
      </c>
      <c r="D109" s="1"/>
      <c r="E109" s="1"/>
      <c r="F109" s="1"/>
      <c r="G109" s="1"/>
      <c r="H109" s="1"/>
    </row>
    <row r="110" spans="1:8">
      <c r="A110" s="1"/>
      <c r="B110" s="1"/>
      <c r="C110" s="1"/>
      <c r="D110" s="1"/>
      <c r="E110" s="1"/>
      <c r="F110" s="1"/>
      <c r="G110" s="1"/>
      <c r="H110" s="1"/>
    </row>
  </sheetData>
  <mergeCells count="11">
    <mergeCell ref="A1:H1"/>
    <mergeCell ref="A2:H2"/>
    <mergeCell ref="A4:H4"/>
    <mergeCell ref="A16:H16"/>
    <mergeCell ref="A25:H25"/>
    <mergeCell ref="A98:H98"/>
    <mergeCell ref="A48:H48"/>
    <mergeCell ref="A63:H63"/>
    <mergeCell ref="A76:H76"/>
    <mergeCell ref="A79:H79"/>
    <mergeCell ref="A88:H8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Master Plan</vt:lpstr>
      <vt:lpstr>Dashboard</vt:lpstr>
      <vt:lpstr>Roadmap</vt:lpstr>
      <vt:lpstr>Hands-On Labs</vt:lpstr>
      <vt:lpstr>Platform Library</vt:lpstr>
      <vt:lpstr>20-Week Plan</vt:lpstr>
      <vt:lpstr>CS + Interview Track</vt:lpstr>
      <vt:lpstr>Stanford Research Track</vt:lpstr>
      <vt:lpstr>Data + RAG Track</vt:lpstr>
      <vt:lpstr>Competency Matrix</vt:lpstr>
      <vt:lpstr>Revision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Rajat Bhatnagar</cp:lastModifiedBy>
  <dcterms:created xsi:type="dcterms:W3CDTF">2026-09-05T17:55:59Z</dcterms:created>
  <dcterms:modified xsi:type="dcterms:W3CDTF">2026-10-26T01:59:05Z</dcterms:modified>
</cp:coreProperties>
</file>