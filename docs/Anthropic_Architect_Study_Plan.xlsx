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📚 Study Plan" sheetId="1" state="visible" r:id="rId3"/>
    <sheet name="📖 References &amp; Additional Work" sheetId="2" state="visible" r:id="rId4"/>
    <sheet name="📊 Progress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<sst xmlns="http://schemas.openxmlformats.org/spreadsheetml/2006/main" count="427" uniqueCount="268">
  <si>
    <t xml:space="preserve">🚀  ANTHROPIC / CLAUDE  —  AI ARCHITECT CERTIFICATION STUDY PLAN</t>
  </si>
  <si>
    <t xml:space="preserve">Role: AI Architect  |  Background: Java · Spring Boot · Google Cloud · Middleware · RDBMS · System Design  |  Goal: Work at Anthropic</t>
  </si>
  <si>
    <t xml:space="preserve">🟠 Phase 1 — Free Anthropic Academy (anthropic.skilljar.com)     🔵 Phase 2 — Partner Academy (anthropic-partners.skilljar.com)     🟣 Phase 3 — Cert Prep &amp; Exam     🟢 Phase 4 — Hands-On Projects</t>
  </si>
  <si>
    <t xml:space="preserve">#</t>
  </si>
  <si>
    <t xml:space="preserve">Phase</t>
  </si>
  <si>
    <t xml:space="preserve">Module / Course</t>
  </si>
  <si>
    <t xml:space="preserve">Platform &amp; Link</t>
  </si>
  <si>
    <t xml:space="preserve">Key Topics (tailored to your background)</t>
  </si>
  <si>
    <t xml:space="preserve">Hands-On Activity</t>
  </si>
  <si>
    <t xml:space="preserve">Est. Hours</t>
  </si>
  <si>
    <t xml:space="preserve">Priority</t>
  </si>
  <si>
    <t xml:space="preserve">Status</t>
  </si>
  <si>
    <t xml:space="preserve">Start Date</t>
  </si>
  <si>
    <t xml:space="preserve">End Date</t>
  </si>
  <si>
    <t xml:space="preserve">Notes</t>
  </si>
  <si>
    <t xml:space="preserve">🟠 Phase 1
Free Academy</t>
  </si>
  <si>
    <t xml:space="preserve">AI Capabilities &amp; Limitations</t>
  </si>
  <si>
    <t xml:space="preserve">https://anthropic.skilljar.com/ai-capabilities-and-limitations</t>
  </si>
  <si>
    <t xml:space="preserve">How LLMs work vs traditional ML; transformers; tokens; context windows. Bridges your Java/Spring Boot mental model into LLM territory.</t>
  </si>
  <si>
    <t xml:space="preserve">Compare Claude token limits vs Codex/Gemini context windows. Document in a personal wiki.</t>
  </si>
  <si>
    <t xml:space="preserve">🔴 Must Do</t>
  </si>
  <si>
    <t xml:space="preserve">Not Started ⬜</t>
  </si>
  <si>
    <t xml:space="preserve">AI Fluency: Framework &amp; Foundations</t>
  </si>
  <si>
    <t xml:space="preserve">https://anthropic.skilljar.com/ai-fluency-framework-foundations</t>
  </si>
  <si>
    <t xml:space="preserve">Responsible AI collaboration, ethical considerations, Anthropic's safety-first philosophy — core to their hiring values.</t>
  </si>
  <si>
    <t xml:space="preserve">Write a 1-page reflection: how does Constitutional AI differ from RLHF you may have seen in Codex?</t>
  </si>
  <si>
    <t xml:space="preserve">Claude 101</t>
  </si>
  <si>
    <t xml:space="preserve">https://anthropic.skilljar.com/claude-101</t>
  </si>
  <si>
    <t xml:space="preserve">Core Claude features; prompt anatomy; system prompts; multi-turn conversations. Zero assumptions — start here even with LLM experience.</t>
  </si>
  <si>
    <t xml:space="preserve">Rebuild 3 real work prompts you use in Gemini/Copilot and compare output quality.</t>
  </si>
  <si>
    <t xml:space="preserve">Claude Platform 101</t>
  </si>
  <si>
    <t xml:space="preserve">https://anthropic.skilljar.com/claude-platform-101</t>
  </si>
  <si>
    <t xml:space="preserve">API fundamentals; model families (Haiku/Sonnet/Opus); console setup; first API call. Your Spring Boot background makes REST concepts trivial — focus on Claude-specific params.</t>
  </si>
  <si>
    <t xml:space="preserve">Call the API from a simple Spring Boot @RestController. Log token usage and latency.</t>
  </si>
  <si>
    <t xml:space="preserve">Building with the Claude API</t>
  </si>
  <si>
    <t xml:space="preserve">https://anthropic.skilljar.com/claude-with-the-anthropic-api</t>
  </si>
  <si>
    <t xml:space="preserve">Full API surface: streaming, function/tool calling, batch API, vision, Files API, prompt caching. Direct parallel to your REST/middleware work.</t>
  </si>
  <si>
    <t xml:space="preserve">Build a Java SDK wrapper for the Claude API similar to a Spring Boot WebClient integration.</t>
  </si>
  <si>
    <t xml:space="preserve">Introduction to Model Context Protocol (MCP)</t>
  </si>
  <si>
    <t xml:space="preserve">https://anthropic.skilljar.com/introduction-to-model-context-protocol</t>
  </si>
  <si>
    <t xml:space="preserve">MCP servers, clients, primitives (tools/resources/prompts). Think of MCP as a new middleware layer — your webMethods background is a direct mental model transfer.</t>
  </si>
  <si>
    <t xml:space="preserve">Design an MCP server that exposes a JDBC data source — map it to your RDBMS knowledge.</t>
  </si>
  <si>
    <t xml:space="preserve">Model Context Protocol: Advanced Topics</t>
  </si>
  <si>
    <t xml:space="preserve">https://anthropic.skilljar.com/model-context-protocol-advanced-topics</t>
  </si>
  <si>
    <t xml:space="preserve">Sampling, notifications, file system access, transport mechanisms for production MCP. Production-grade patterns you'll be tested on in the Architect exam.</t>
  </si>
  <si>
    <t xml:space="preserve">Implement an MCP server with OAuth2 auth (leverage your Spring Security knowledge).</t>
  </si>
  <si>
    <t xml:space="preserve">Claude Code 101</t>
  </si>
  <si>
    <t xml:space="preserve">https://anthropic.skilljar.com/claude-code-101</t>
  </si>
  <si>
    <t xml:space="preserve">Claude Code as an agentic coding assistant; CLAUDE.md config; daily dev workflow integration. Replaces Copilot in your toolkit.</t>
  </si>
  <si>
    <t xml:space="preserve">Migrate one existing Java project to use Claude Code as your primary coding assistant for 1 week.</t>
  </si>
  <si>
    <t xml:space="preserve">🟡 High</t>
  </si>
  <si>
    <t xml:space="preserve">Claude Code in Action</t>
  </si>
  <si>
    <t xml:space="preserve">https://anthropic.skilljar.com/claude-code-in-action</t>
  </si>
  <si>
    <t xml:space="preserve">Long-horizon agentic sessions; hooks (pre/post tool); steering and verification; automation patterns. Critical for Architect exam domain.</t>
  </si>
  <si>
    <t xml:space="preserve">Set up a pre-commit hook using Claude Code that reviews Java code for design pattern adherence.</t>
  </si>
  <si>
    <t xml:space="preserve">Introduction to Agent Skills</t>
  </si>
  <si>
    <t xml:space="preserve">https://anthropic.skilljar.com/introduction-to-agent-skills</t>
  </si>
  <si>
    <t xml:space="preserve">Building reusable Claude Code skills; distributing across teams. Maps to your middleware/integration patterns.</t>
  </si>
  <si>
    <t xml:space="preserve">Build a skill that auto-generates Spring Boot boilerplate from an OpenAPI spec.</t>
  </si>
  <si>
    <t xml:space="preserve">Introduction to Subagents</t>
  </si>
  <si>
    <t xml:space="preserve">https://anthropic.skilljar.com/introduction-to-subagents</t>
  </si>
  <si>
    <t xml:space="preserve">Subagent delegation; context isolation; specialized workflows. Think microservices — each subagent = a bounded context.</t>
  </si>
  <si>
    <t xml:space="preserve">Design a multi-agent architecture diagram mapping subagents to microservice domains.</t>
  </si>
  <si>
    <t xml:space="preserve">AI Fluency for Builders</t>
  </si>
  <si>
    <t xml:space="preserve">https://anthropic.skilljar.com/ai-fluency-for-builders</t>
  </si>
  <si>
    <t xml:space="preserve">End-to-end builder mindset: problem framing, shipping AI-powered solutions responsibly.</t>
  </si>
  <si>
    <t xml:space="preserve">Document a real Optum/UHG use case where Claude could replace a middleware integration.</t>
  </si>
  <si>
    <t xml:space="preserve">🟢 Good</t>
  </si>
  <si>
    <t xml:space="preserve">Introduction to Claude Cowork</t>
  </si>
  <si>
    <t xml:space="preserve">https://anthropic.skilljar.com/introduction-to-claude-cowork</t>
  </si>
  <si>
    <t xml:space="preserve">Multi-step task delegation, file workflows, plugins/skills integration. Anthropic's newest product surface.</t>
  </si>
  <si>
    <t xml:space="preserve">Use Cowork for a real architecture document you need to produce at work.</t>
  </si>
  <si>
    <t xml:space="preserve">🔵 Phase 2
Partner Academy</t>
  </si>
  <si>
    <t xml:space="preserve">CPN Welcome &amp; Partner Network Intro (Episode 01)</t>
  </si>
  <si>
    <t xml:space="preserve">https://anthropic-partners.skilljar.com/claude-partner-network-connect-episode-01</t>
  </si>
  <si>
    <t xml:space="preserve">Program context, certification roadmap, partner resources. Understand how Anthropic thinks about its partner ecosystem.</t>
  </si>
  <si>
    <t xml:space="preserve">Map Optum/UHG's current AI initiatives against the Claude Partner Network value props.</t>
  </si>
  <si>
    <t xml:space="preserve">CPN Connect Episode 02 — Program Launch Deep Dive</t>
  </si>
  <si>
    <t xml:space="preserve">https://anthropic-partners.skilljar.com/cpn-connect-episode-02</t>
  </si>
  <si>
    <t xml:space="preserve">Partner portal walkthrough; program structure; full partner enablement overview.</t>
  </si>
  <si>
    <t xml:space="preserve">Identify 3 Optum use cases that align to partner certification tracks.</t>
  </si>
  <si>
    <t xml:space="preserve">CPN Connect Episode 03 — Cert Updates &amp; Product News</t>
  </si>
  <si>
    <t xml:space="preserve">https://anthropic-partners.skilljar.com/claude-partner-network-connect-episode-03</t>
  </si>
  <si>
    <t xml:space="preserve">Latest certification program updates; new product features; partner training resources.</t>
  </si>
  <si>
    <t xml:space="preserve">Note any features announced that apply to healthcare/enterprise use cases at Optum.</t>
  </si>
  <si>
    <t xml:space="preserve">CPN Learning Path: Building with Claude API (Partner Edition)</t>
  </si>
  <si>
    <t xml:space="preserve">https://anthropic-partners.skilljar.com/claude-with-the-anthropic-api</t>
  </si>
  <si>
    <t xml:space="preserve">Partner-depth API coverage with enterprise context. Revisit after Phase 1 to catch partner-specific content.</t>
  </si>
  <si>
    <t xml:space="preserve">Build an enterprise API integration pattern with retry logic, circuit breakers (your middleware background).</t>
  </si>
  <si>
    <t xml:space="preserve">CPN Learning Path: Intro to MCP (Partner Edition)</t>
  </si>
  <si>
    <t xml:space="preserve">https://anthropic-partners.skilljar.com/introduction-to-model-context-protocol</t>
  </si>
  <si>
    <t xml:space="preserve">Partner-depth MCP with enterprise integration context.</t>
  </si>
  <si>
    <t xml:space="preserve">Design an MCP server exposing Optum's internal APIs to Claude — architecture diagram only.</t>
  </si>
  <si>
    <t xml:space="preserve">CPN Learning Path: Claude Code in Action (Partner Edition)</t>
  </si>
  <si>
    <t xml:space="preserve">https://anthropic-partners.skilljar.com/claude-code-in-action</t>
  </si>
  <si>
    <t xml:space="preserve">Partner-depth agentic coding patterns; enterprise session management.</t>
  </si>
  <si>
    <t xml:space="preserve">Run a full Claude Code session automating a Java codebase refactor.</t>
  </si>
  <si>
    <t xml:space="preserve">CPN Learning Path: Intro to Agent Skills (Partner Edition)</t>
  </si>
  <si>
    <t xml:space="preserve">https://anthropic-partners.skilljar.com/introduction-to-agent-skills</t>
  </si>
  <si>
    <t xml:space="preserve">Partner depth on skills distribution and team enablement.</t>
  </si>
  <si>
    <t xml:space="preserve">Package and share 2 skills with your team via CLAUDE.md.</t>
  </si>
  <si>
    <t xml:space="preserve">🟣 Phase 3
Cert Prep</t>
  </si>
  <si>
    <t xml:space="preserve">Architect Foundations — Exam Prep Course</t>
  </si>
  <si>
    <t xml:space="preserve">https://anthropic-partners.skilljar.com/page/claude-certification-exam-prep-courses</t>
  </si>
  <si>
    <t xml:space="preserve">All 5 exam domains: Claude Architecture, Prompt Engineering, Agent Design, MCP Integration, Production Operations. Study guide v0.2+.</t>
  </si>
  <si>
    <t xml:space="preserve">Take all practice questions. Score each domain. Focus remediation on lowest domain.</t>
  </si>
  <si>
    <t xml:space="preserve">Mock Exam Practice (external resource)</t>
  </si>
  <si>
    <t xml:space="preserve">https://claudecertificationguide.com/blog/new-claude-certifications-2026</t>
  </si>
  <si>
    <t xml:space="preserve">250+ community practice questions; scenario-based format matching real exam. Free, no signup.</t>
  </si>
  <si>
    <t xml:space="preserve">Target ≥80% on mock exams before booking. Track weak areas in the Notes column.</t>
  </si>
  <si>
    <t xml:space="preserve">✅ EXAM: Claude Certified Architect — Foundations (CCAR-F)</t>
  </si>
  <si>
    <t xml:space="preserve">https://anthropic-partners.skilljar.com/claude-certified-architect-foundations-certification</t>
  </si>
  <si>
    <t xml:space="preserve">$125 | 120 min | Pearson VUE OnVUE | Pass score: 720/1000 | Valid 12 months.</t>
  </si>
  <si>
    <t xml:space="preserve">Book via Pearson VUE using Optum corporate email. Aim for 2 weeks after completing Phase 2.</t>
  </si>
  <si>
    <t xml:space="preserve">Architect Professional — Exam Prep Course</t>
  </si>
  <si>
    <t xml:space="preserve">https://anthropic-partners.skilljar.com/claude-certified-architect-professional-certification</t>
  </si>
  <si>
    <t xml:space="preserve">End-to-end delivery ownership; advanced agent orchestration; enterprise observability; cost optimization at scale.</t>
  </si>
  <si>
    <t xml:space="preserve">Design a full reference architecture for a Claude-powered healthcare use case (Optum context).</t>
  </si>
  <si>
    <t xml:space="preserve">✅ EXAM: Claude Certified Architect — Professional (CCAR-P)</t>
  </si>
  <si>
    <t xml:space="preserve">$175 | 120 min | Pearson VUE OnVUE | Pass score: 720/1000 | Valid 12 months.</t>
  </si>
  <si>
    <t xml:space="preserve">Book 4-6 weeks after CCAR-F exam. Requires demonstrated production experience.</t>
  </si>
  <si>
    <t xml:space="preserve">🟢 Phase 4
Hands-On</t>
  </si>
  <si>
    <t xml:space="preserve">Build: Claude API Enterprise Integration (Java)</t>
  </si>
  <si>
    <t xml:space="preserve">https://docs.anthropic.com/en/api/overview</t>
  </si>
  <si>
    <t xml:space="preserve">Production-grade Java client with streaming, retry logic, prompt caching, cost tracking. Your Spring Boot expertise shines here.</t>
  </si>
  <si>
    <t xml:space="preserve">Open-source the library on GitHub. Write a technical blog post. This is your Anthropic portfolio piece.</t>
  </si>
  <si>
    <t xml:space="preserve">Build: MCP Server on Google Cloud</t>
  </si>
  <si>
    <t xml:space="preserve">https://docs.anthropic.com/en/docs/mcp</t>
  </si>
  <si>
    <t xml:space="preserve">Deploy an MCP server on Cloud Run (your GCP background). Connect to a real database. Add auth via Cloud IAM.</t>
  </si>
  <si>
    <t xml:space="preserve">Deploy to GCP, share architecture diagram. Document latency and cost benchmarks.</t>
  </si>
  <si>
    <t xml:space="preserve">Build: Multi-Agent Healthcare Use Case</t>
  </si>
  <si>
    <t xml:space="preserve">https://docs.anthropic.com/en/docs/agents</t>
  </si>
  <si>
    <t xml:space="preserve">Design and prototype a multi-agent system for a healthcare workflow (claim processing, prior auth, etc.). Directly relevant to Optum.</t>
  </si>
  <si>
    <t xml:space="preserve">Present internally at Optum. Document lessons learned. This becomes your Anthropic interview talking point.</t>
  </si>
  <si>
    <t xml:space="preserve">Contribute: Anthropic Cookbook / GitHub</t>
  </si>
  <si>
    <t xml:space="preserve">https://github.com/anthropics/anthropic-cookbook</t>
  </si>
  <si>
    <t xml:space="preserve">Open source contributions demonstrate depth. Add a Java SDK example or a healthcare MCP recipe.</t>
  </si>
  <si>
    <t xml:space="preserve">Submit at least 1 PR to anthropic-cookbook. Anthropic engineering team reviews these.</t>
  </si>
  <si>
    <t xml:space="preserve">Engage: Anthropic Community &amp; Research Papers</t>
  </si>
  <si>
    <t xml:space="preserve">https://www.anthropic.com/research</t>
  </si>
  <si>
    <t xml:space="preserve">Read Constitutional AI, Claude's Model Card, Responsible Scaling Policy. These are interview essentials at Anthropic.</t>
  </si>
  <si>
    <t xml:space="preserve">Write a 2-page summary of Constitutional AI and how it differs from RLHF. Anthropic interviewers expect this.</t>
  </si>
  <si>
    <t xml:space="preserve">TOTAL ESTIMATED HOURS</t>
  </si>
  <si>
    <t xml:space="preserve">📖  REFERENCES &amp; ADDITIONAL LEARNING  —  External Resources</t>
  </si>
  <si>
    <t xml:space="preserve">Curated external resources to complement Anthropic Academy — MIT · Stanford · YouTube · Papers · GitHub</t>
  </si>
  <si>
    <t xml:space="preserve">🟠 Foundations  🔵 Architecture &amp; Agents  🟣 Safety &amp; Research  🟢 Hands-On / Code  🟤 Healthcare AI</t>
  </si>
  <si>
    <t xml:space="preserve">Category</t>
  </si>
  <si>
    <t xml:space="preserve">Resource Title</t>
  </si>
  <si>
    <t xml:space="preserve">URL / Source</t>
  </si>
  <si>
    <t xml:space="preserve">Why Relevant to You</t>
  </si>
  <si>
    <t xml:space="preserve">Format</t>
  </si>
  <si>
    <t xml:space="preserve">Est. Time</t>
  </si>
  <si>
    <t xml:space="preserve">🟠 Foundations</t>
  </si>
  <si>
    <t xml:space="preserve">Attention Is All You Need (Original Transformer Paper)</t>
  </si>
  <si>
    <t xml:space="preserve">https://arxiv.org/abs/1706.03762</t>
  </si>
  <si>
    <t xml:space="preserve">The paper that started everything. As an architect you need to understand the attention mechanism that powers Claude.</t>
  </si>
  <si>
    <t xml:space="preserve">PDF / Paper</t>
  </si>
  <si>
    <t xml:space="preserve">3 hrs</t>
  </si>
  <si>
    <t xml:space="preserve">Stanford CS224N: NLP with Deep Learning (Lecture Videos)</t>
  </si>
  <si>
    <t xml:space="preserve">https://www.youtube.com/playlist?list=PLoROMvodv4rMFqRtEuo6SGjY4XbRIVx76</t>
  </si>
  <si>
    <t xml:space="preserve">World-class NLP fundamentals from Stanford. Lecture 10–12 cover transformers and LLMs directly.</t>
  </si>
  <si>
    <t xml:space="preserve">YouTube Playlist</t>
  </si>
  <si>
    <t xml:space="preserve">10 hrs</t>
  </si>
  <si>
    <t xml:space="preserve">3Blue1Brown: But what is a neural network? (Series)</t>
  </si>
  <si>
    <t xml:space="preserve">https://www.youtube.com/playlist?list=PLZHQObOWTQDNU6R1_67000Dx_ZCJB-3pi</t>
  </si>
  <si>
    <t xml:space="preserve">Visual intuition for how neural networks learn. Perfect bridge from your Java/procedural background to probabilistic ML.</t>
  </si>
  <si>
    <t xml:space="preserve">YouTube Series</t>
  </si>
  <si>
    <t xml:space="preserve">2 hrs</t>
  </si>
  <si>
    <t xml:space="preserve">Andrej Karpathy: Let's build GPT from scratch</t>
  </si>
  <si>
    <t xml:space="preserve">https://www.youtube.com/watch?v=kCc8FmEb1nY</t>
  </si>
  <si>
    <t xml:space="preserve">Build a GPT in Python from scratch. Even if you don't use Python daily, this cements your mental model of how Claude works under the hood.</t>
  </si>
  <si>
    <t xml:space="preserve">YouTube (2h)</t>
  </si>
  <si>
    <t xml:space="preserve">2.5 hrs</t>
  </si>
  <si>
    <t xml:space="preserve">MIT 6.S191: Introduction to Deep Learning</t>
  </si>
  <si>
    <t xml:space="preserve">https://www.youtube.com/playlist?list=PLtBw6njQRU-rwp5__7C0oIVt26ZgjG9NI</t>
  </si>
  <si>
    <t xml:space="preserve">MIT's intro to deep learning. Module 1 (Intro to DL) and Module 6 (LLMs) are directly relevant.</t>
  </si>
  <si>
    <t xml:space="preserve">6 hrs</t>
  </si>
  <si>
    <t xml:space="preserve">Hugging Face: NLP Course (Free)</t>
  </si>
  <si>
    <t xml:space="preserve">https://huggingface.co/learn/nlp-course</t>
  </si>
  <si>
    <t xml:space="preserve">Practical NLP course. Chapter 1–3 give you hands-on tokenization and model understanding.</t>
  </si>
  <si>
    <t xml:space="preserve">Online Course</t>
  </si>
  <si>
    <t xml:space="preserve">8 hrs</t>
  </si>
  <si>
    <t xml:space="preserve">🔵 Architecture</t>
  </si>
  <si>
    <t xml:space="preserve">Anthropic: Building Effective Agents (Blog)</t>
  </si>
  <si>
    <t xml:space="preserve">https://www.anthropic.com/research/building-effective-agents</t>
  </si>
  <si>
    <t xml:space="preserve">Anthropic's own framework for agent design. MANDATORY reading before the Architect exam — this is exam material.</t>
  </si>
  <si>
    <t xml:space="preserve">Blog / Article</t>
  </si>
  <si>
    <t xml:space="preserve">1 hr</t>
  </si>
  <si>
    <t xml:space="preserve">Prompt Engineering Guide (DAIR.AI)</t>
  </si>
  <si>
    <t xml:space="preserve">https://www.promptingguide.ai/</t>
  </si>
  <si>
    <t xml:space="preserve">Comprehensive prompt engineering reference. Chain-of-thought, few-shot, ReAct, Tree-of-Thought — all tested in the exam.</t>
  </si>
  <si>
    <t xml:space="preserve">Online Guide</t>
  </si>
  <si>
    <t xml:space="preserve">4 hrs</t>
  </si>
  <si>
    <t xml:space="preserve">LangGraph: Multi-Agent Architectures (YouTube)</t>
  </si>
  <si>
    <t xml:space="preserve">https://www.youtube.com/watch?v=5h7DA9BxzaY</t>
  </si>
  <si>
    <t xml:space="preserve">While Claude uses its own SDK, understanding graph-based agent orchestration gives you architecture vocabulary.</t>
  </si>
  <si>
    <t xml:space="preserve">YouTube</t>
  </si>
  <si>
    <t xml:space="preserve">1.5 hrs</t>
  </si>
  <si>
    <t xml:space="preserve">Claude API Docs: Tool Use / Function Calling</t>
  </si>
  <si>
    <t xml:space="preserve">https://docs.anthropic.com/en/docs/tool-use</t>
  </si>
  <si>
    <t xml:space="preserve">Official deep-dive on tool use — the foundation of MCP and agents. Read every section, run every code example.</t>
  </si>
  <si>
    <t xml:space="preserve">Documentation</t>
  </si>
  <si>
    <t xml:space="preserve">Claude API Docs: Prompt Caching</t>
  </si>
  <si>
    <t xml:space="preserve">https://docs.anthropic.com/en/docs/prompt-caching</t>
  </si>
  <si>
    <t xml:space="preserve">Cost optimization pattern. At Optum scale, prompt caching is a major architectural decision. Exam-relevant.</t>
  </si>
  <si>
    <t xml:space="preserve">AWS re:Invent: Agentic AI Patterns at Scale (YouTube)</t>
  </si>
  <si>
    <t xml:space="preserve">https://www.youtube.com/watch?v=tFR3rJ8ndqI</t>
  </si>
  <si>
    <t xml:space="preserve">Enterprise-scale agent patterns. Your GCP background helps you map these patterns across clouds.</t>
  </si>
  <si>
    <t xml:space="preserve">System Design Interview: Distributed Systems (Alex Xu)</t>
  </si>
  <si>
    <t xml:space="preserve">https://www.youtube.com/watch?v=i53Gi_K3o7I</t>
  </si>
  <si>
    <t xml:space="preserve">Your existing system design strength mapped to AI workloads. Focus on rate limiting, circuit breakers for LLM APIs.</t>
  </si>
  <si>
    <t xml:space="preserve">🟣 Safety</t>
  </si>
  <si>
    <t xml:space="preserve">Constitutional AI: Harmlessness from AI Feedback (Anthropic Paper)</t>
  </si>
  <si>
    <t xml:space="preserve">https://arxiv.org/abs/2212.08073</t>
  </si>
  <si>
    <t xml:space="preserve">THE paper defining Anthropic's approach. Interviewers at Anthropic will ask about this. Read it.</t>
  </si>
  <si>
    <t xml:space="preserve">Claude's Model Card</t>
  </si>
  <si>
    <t xml:space="preserve">https://www.anthropic.com/claude-model-card</t>
  </si>
  <si>
    <t xml:space="preserve">Anthropic's transparency document on Claude's capabilities and limitations. Know this before any Anthropic interview.</t>
  </si>
  <si>
    <t xml:space="preserve">Document</t>
  </si>
  <si>
    <t xml:space="preserve">Anthropic Responsible Scaling Policy (RSP)</t>
  </si>
  <si>
    <t xml:space="preserve">https://www.anthropic.com/news/announcing-our-updated-responsible-scaling-policy</t>
  </si>
  <si>
    <t xml:space="preserve">Anthropic's commitment to safe AI development. Core company value — understanding this is non-negotiable for Anthropic roles.</t>
  </si>
  <si>
    <t xml:space="preserve">Policy Doc</t>
  </si>
  <si>
    <t xml:space="preserve">RLHF Explained (YouTube — Yannic Kilcher)</t>
  </si>
  <si>
    <t xml:space="preserve">https://www.youtube.com/watch?v=2MBJOuVq380</t>
  </si>
  <si>
    <t xml:space="preserve">Understand RLHF so you can contrast it with Anthropic's Constitutional AI. Critical context.</t>
  </si>
  <si>
    <t xml:space="preserve">Stanford: AI Safety Fundamentals (AISF Course)</t>
  </si>
  <si>
    <t xml:space="preserve">https://aisafetyfundamentals.com/</t>
  </si>
  <si>
    <t xml:space="preserve">Free 8-week AI safety course. Anthropic's mission is AI safety — demonstrating this knowledge differentiates you.</t>
  </si>
  <si>
    <t xml:space="preserve">16 hrs</t>
  </si>
  <si>
    <t xml:space="preserve">🟢 Hands-On</t>
  </si>
  <si>
    <t xml:space="preserve">Anthropic Cookbook (GitHub)</t>
  </si>
  <si>
    <t xml:space="preserve">Official recipes for Claude API patterns. Every notebook is a hands-on lab. Your exam prep AND your portfolio.</t>
  </si>
  <si>
    <t xml:space="preserve">GitHub / Code</t>
  </si>
  <si>
    <t xml:space="preserve">Anthropic SDK for Python / TypeScript</t>
  </si>
  <si>
    <t xml:space="preserve">https://github.com/anthropics/anthropic-sdk-python</t>
  </si>
  <si>
    <t xml:space="preserve">Even as a Java architect, reading the official SDK source deepens API understanding. Java SDK wrapper is your project.</t>
  </si>
  <si>
    <t xml:space="preserve">GitHub</t>
  </si>
  <si>
    <t xml:space="preserve">MCP GitHub Repository &amp; Spec</t>
  </si>
  <si>
    <t xml:space="preserve">https://github.com/modelcontextprotocol/specification</t>
  </si>
  <si>
    <t xml:space="preserve">The official MCP specification. As an architect you need to read the spec, not just the tutorial.</t>
  </si>
  <si>
    <t xml:space="preserve">GitHub / Spec</t>
  </si>
  <si>
    <t xml:space="preserve">Full Stack Deep Learning (FSDL) — LLM Bootcamp</t>
  </si>
  <si>
    <t xml:space="preserve">https://www.youtube.com/playlist?list=PL1T8fO7ArWleyIqOy37OVXsP4hFXymdOZ</t>
  </si>
  <si>
    <t xml:space="preserve">Production LLM engineering from training to deployment. Maps your system design skills to AI production.</t>
  </si>
  <si>
    <t xml:space="preserve">Google Cloud: Vertex AI + Claude Integration</t>
  </si>
  <si>
    <t xml:space="preserve">https://cloud.google.com/vertex-ai/generative-ai/docs/partner-models/use-claude</t>
  </si>
  <si>
    <t xml:space="preserve">Deploy Claude on GCP (your primary cloud). This is your home territory — use it.</t>
  </si>
  <si>
    <t xml:space="preserve">🟤 Healthcare AI</t>
  </si>
  <si>
    <t xml:space="preserve">AI in Healthcare: MIT OpenCourseWare</t>
  </si>
  <si>
    <t xml:space="preserve">https://ocw.mit.edu/courses/6-s897-machine-learning-for-healthcare-spring-2019/</t>
  </si>
  <si>
    <t xml:space="preserve">MIT's ML for Healthcare course. Directly applicable to your Optum context and differentiates you for Anthropic healthcare roles.</t>
  </si>
  <si>
    <t xml:space="preserve">12 hrs</t>
  </si>
  <si>
    <t xml:space="preserve">Anthropic: Claude for Healthcare (Solutions Page)</t>
  </si>
  <si>
    <t xml:space="preserve">https://claude.com/solutions/healthcare</t>
  </si>
  <si>
    <t xml:space="preserve">Anthropic's healthcare positioning. Understanding this helps you articulate your Optum experience in Anthropic context.</t>
  </si>
  <si>
    <t xml:space="preserve">Web Page</t>
  </si>
  <si>
    <t xml:space="preserve">0.5 hrs</t>
  </si>
  <si>
    <t xml:space="preserve">HIPAA + AI: Practical Guide for Architects</t>
  </si>
  <si>
    <t xml:space="preserve">https://www.hhs.gov/hipaa/for-professionals/privacy/guidance/hipaa-online-resources/index.html</t>
  </si>
  <si>
    <t xml:space="preserve">As a healthcare AI architect, knowing HIPAA constraints on LLM data is critical for Optum projects and Anthropic healthcare pitches.</t>
  </si>
  <si>
    <t xml:space="preserve">📊  PROGRESS DASHBOARD</t>
  </si>
  <si>
    <t xml:space="preserve">Total Modules</t>
  </si>
  <si>
    <t xml:space="preserve">Completed ✅</t>
  </si>
  <si>
    <t xml:space="preserve">In Progress 🔄</t>
  </si>
  <si>
    <t xml:space="preserve">Total Hours</t>
  </si>
  <si>
    <t xml:space="preserve">% Complete</t>
  </si>
  <si>
    <t xml:space="preserve">💡  TIP: Update the Status column in 📚 Study Plan to see this dashboard update automatically.  Target: Complete Phase 1 in 3 weeks → Phase 2 in 2 weeks → Book CCAR-F exam.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</si>
</sst>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&quot; hrs&quot;"/>
    <numFmt numFmtId="166" formatCode="mm/dd/yyyy"/>
    <numFmt numFmtId="167" formatCode="General"/>
    <numFmt numFmtId="168" formatCode="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D1B2A"/>
      <name val="Arial"/>
      <family val="0"/>
      <charset val="1"/>
    </font>
    <font>
      <u val="single"/>
      <sz val="9"/>
      <color rgb="FF1155CC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2E4057"/>
      <name val="Arial"/>
      <family val="0"/>
      <charset val="1"/>
    </font>
    <font>
      <b val="true"/>
      <sz val="14"/>
      <color rgb="FF1E8449"/>
      <name val="Arial"/>
      <family val="0"/>
      <charset val="1"/>
    </font>
    <font>
      <b val="true"/>
      <sz val="14"/>
      <color rgb="FFCA6F1E"/>
      <name val="Arial"/>
      <family val="0"/>
      <charset val="1"/>
    </font>
    <font>
      <b val="true"/>
      <sz val="14"/>
      <color rgb="FFCB4335"/>
      <name val="Arial"/>
      <family val="0"/>
      <charset val="1"/>
    </font>
    <font>
      <b val="true"/>
      <sz val="14"/>
      <color rgb="FF1A5276"/>
      <name val="Arial"/>
      <family val="0"/>
      <charset val="1"/>
    </font>
    <font>
      <b val="true"/>
      <sz val="14"/>
      <color rgb="FF6C3483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CC5500"/>
        <bgColor rgb="FFCA6F1E"/>
      </patternFill>
    </fill>
    <fill>
      <patternFill patternType="solid">
        <fgColor rgb="FFF2F2F2"/>
        <bgColor rgb="FFF4EEFF"/>
      </patternFill>
    </fill>
    <fill>
      <patternFill patternType="solid">
        <fgColor rgb="FF2E4057"/>
        <bgColor rgb="FF1A5276"/>
      </patternFill>
    </fill>
    <fill>
      <patternFill patternType="solid">
        <fgColor rgb="FFFFFFFF"/>
        <bgColor rgb="FFFEFDE7"/>
      </patternFill>
    </fill>
    <fill>
      <patternFill patternType="solid">
        <fgColor rgb="FFFADBD8"/>
        <bgColor rgb="FFFDEBD0"/>
      </patternFill>
    </fill>
    <fill>
      <patternFill patternType="solid">
        <fgColor rgb="FFFEFDE7"/>
        <bgColor rgb="FFFEF9E7"/>
      </patternFill>
    </fill>
    <fill>
      <patternFill patternType="solid">
        <fgColor rgb="FFFDEBD0"/>
        <bgColor rgb="FFFDF3E7"/>
      </patternFill>
    </fill>
    <fill>
      <patternFill patternType="solid">
        <fgColor rgb="FFFEF9E7"/>
        <bgColor rgb="FFFEFDE7"/>
      </patternFill>
    </fill>
    <fill>
      <patternFill patternType="solid">
        <fgColor rgb="FFEAFAF1"/>
        <bgColor rgb="FFEAF4FB"/>
      </patternFill>
    </fill>
    <fill>
      <patternFill patternType="solid">
        <fgColor rgb="FF1A5276"/>
        <bgColor rgb="FF2E4057"/>
      </patternFill>
    </fill>
    <fill>
      <patternFill patternType="solid">
        <fgColor rgb="FFEAF4FB"/>
        <bgColor rgb="FFF2F2F2"/>
      </patternFill>
    </fill>
    <fill>
      <patternFill patternType="solid">
        <fgColor rgb="FF6C3483"/>
        <bgColor rgb="FF333399"/>
      </patternFill>
    </fill>
    <fill>
      <patternFill patternType="solid">
        <fgColor rgb="FFF4EEFF"/>
        <bgColor rgb="FFF2F2F2"/>
      </patternFill>
    </fill>
    <fill>
      <patternFill patternType="solid">
        <fgColor rgb="FF1E8449"/>
        <bgColor rgb="FF008080"/>
      </patternFill>
    </fill>
    <fill>
      <patternFill patternType="solid">
        <fgColor rgb="FFCA6F1E"/>
        <bgColor rgb="FFCC5500"/>
      </patternFill>
    </fill>
    <fill>
      <patternFill patternType="solid">
        <fgColor rgb="FFFDF3E7"/>
        <bgColor rgb="FFFEF9E7"/>
      </patternFill>
    </fill>
    <fill>
      <patternFill patternType="solid">
        <fgColor rgb="FFCB4335"/>
        <bgColor rgb="FFCC55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medium">
        <color rgb="FF999999"/>
      </left>
      <right/>
      <top style="medium">
        <color rgb="FF999999"/>
      </top>
      <bottom style="medium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CA6F1E"/>
      <rgbColor rgb="FF800080"/>
      <rgbColor rgb="FF008080"/>
      <rgbColor rgb="FFCCCCCC"/>
      <rgbColor rgb="FF808080"/>
      <rgbColor rgb="FFAAAAAA"/>
      <rgbColor rgb="FF6C3483"/>
      <rgbColor rgb="FFFEFDE7"/>
      <rgbColor rgb="FFEAFAF1"/>
      <rgbColor rgb="FF660066"/>
      <rgbColor rgb="FFFF8080"/>
      <rgbColor rgb="FF1155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FB"/>
      <rgbColor rgb="FFF2F2F2"/>
      <rgbColor rgb="FFFDEBD0"/>
      <rgbColor rgb="FFF4EEFF"/>
      <rgbColor rgb="FFFDF3E7"/>
      <rgbColor rgb="FFCC99FF"/>
      <rgbColor rgb="FFFADBD8"/>
      <rgbColor rgb="FF3366FF"/>
      <rgbColor rgb="FF33CCCC"/>
      <rgbColor rgb="FF99CC00"/>
      <rgbColor rgb="FFFFCC00"/>
      <rgbColor rgb="FFFF9900"/>
      <rgbColor rgb="FFCC5500"/>
      <rgbColor rgb="FF555555"/>
      <rgbColor rgb="FF999999"/>
      <rgbColor rgb="FF1A5276"/>
      <rgbColor rgb="FF1E8449"/>
      <rgbColor rgb="FF0D1B2A"/>
      <rgbColor rgb="FF333300"/>
      <rgbColor rgb="FF993300"/>
      <rgbColor rgb="FFCB4335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nthropic.skilljar.com/ai-capabilities-and-limitations" TargetMode="External"/><Relationship Id="rId2" Type="http://schemas.openxmlformats.org/officeDocument/2006/relationships/hyperlink" Target="https://anthropic.skilljar.com/ai-fluency-framework-foundations" TargetMode="External"/><Relationship Id="rId3" Type="http://schemas.openxmlformats.org/officeDocument/2006/relationships/hyperlink" Target="https://anthropic.skilljar.com/claude-101" TargetMode="External"/><Relationship Id="rId4" Type="http://schemas.openxmlformats.org/officeDocument/2006/relationships/hyperlink" Target="https://anthropic.skilljar.com/claude-platform-101" TargetMode="External"/><Relationship Id="rId5" Type="http://schemas.openxmlformats.org/officeDocument/2006/relationships/hyperlink" Target="https://anthropic.skilljar.com/claude-with-the-anthropic-api" TargetMode="External"/><Relationship Id="rId6" Type="http://schemas.openxmlformats.org/officeDocument/2006/relationships/hyperlink" Target="https://anthropic.skilljar.com/introduction-to-model-context-protocol" TargetMode="External"/><Relationship Id="rId7" Type="http://schemas.openxmlformats.org/officeDocument/2006/relationships/hyperlink" Target="https://anthropic.skilljar.com/model-context-protocol-advanced-topics" TargetMode="External"/><Relationship Id="rId8" Type="http://schemas.openxmlformats.org/officeDocument/2006/relationships/hyperlink" Target="https://anthropic.skilljar.com/claude-code-101" TargetMode="External"/><Relationship Id="rId9" Type="http://schemas.openxmlformats.org/officeDocument/2006/relationships/hyperlink" Target="https://anthropic.skilljar.com/claude-code-in-action" TargetMode="External"/><Relationship Id="rId10" Type="http://schemas.openxmlformats.org/officeDocument/2006/relationships/hyperlink" Target="https://anthropic.skilljar.com/introduction-to-agent-skills" TargetMode="External"/><Relationship Id="rId11" Type="http://schemas.openxmlformats.org/officeDocument/2006/relationships/hyperlink" Target="https://anthropic.skilljar.com/introduction-to-subagents" TargetMode="External"/><Relationship Id="rId12" Type="http://schemas.openxmlformats.org/officeDocument/2006/relationships/hyperlink" Target="https://anthropic.skilljar.com/ai-fluency-for-builders" TargetMode="External"/><Relationship Id="rId13" Type="http://schemas.openxmlformats.org/officeDocument/2006/relationships/hyperlink" Target="https://anthropic.skilljar.com/introduction-to-claude-cowork" TargetMode="External"/><Relationship Id="rId14" Type="http://schemas.openxmlformats.org/officeDocument/2006/relationships/hyperlink" Target="https://anthropic-partners.skilljar.com/claude-partner-network-connect-episode-01" TargetMode="External"/><Relationship Id="rId15" Type="http://schemas.openxmlformats.org/officeDocument/2006/relationships/hyperlink" Target="https://anthropic-partners.skilljar.com/cpn-connect-episode-02" TargetMode="External"/><Relationship Id="rId16" Type="http://schemas.openxmlformats.org/officeDocument/2006/relationships/hyperlink" Target="https://anthropic-partners.skilljar.com/claude-partner-network-connect-episode-03" TargetMode="External"/><Relationship Id="rId17" Type="http://schemas.openxmlformats.org/officeDocument/2006/relationships/hyperlink" Target="https://anthropic-partners.skilljar.com/claude-with-the-anthropic-api" TargetMode="External"/><Relationship Id="rId18" Type="http://schemas.openxmlformats.org/officeDocument/2006/relationships/hyperlink" Target="https://anthropic-partners.skilljar.com/introduction-to-model-context-protocol" TargetMode="External"/><Relationship Id="rId19" Type="http://schemas.openxmlformats.org/officeDocument/2006/relationships/hyperlink" Target="https://anthropic-partners.skilljar.com/claude-code-in-action" TargetMode="External"/><Relationship Id="rId20" Type="http://schemas.openxmlformats.org/officeDocument/2006/relationships/hyperlink" Target="https://anthropic-partners.skilljar.com/introduction-to-agent-skills" TargetMode="External"/><Relationship Id="rId21" Type="http://schemas.openxmlformats.org/officeDocument/2006/relationships/hyperlink" Target="https://anthropic-partners.skilljar.com/page/claude-certification-exam-prep-courses" TargetMode="External"/><Relationship Id="rId22" Type="http://schemas.openxmlformats.org/officeDocument/2006/relationships/hyperlink" Target="https://claudecertificationguide.com/blog/new-claude-certifications-2026" TargetMode="External"/><Relationship Id="rId23" Type="http://schemas.openxmlformats.org/officeDocument/2006/relationships/hyperlink" Target="https://anthropic-partners.skilljar.com/claude-certified-architect-foundations-certification" TargetMode="External"/><Relationship Id="rId24" Type="http://schemas.openxmlformats.org/officeDocument/2006/relationships/hyperlink" Target="https://anthropic-partners.skilljar.com/claude-certified-architect-professional-certification" TargetMode="External"/><Relationship Id="rId25" Type="http://schemas.openxmlformats.org/officeDocument/2006/relationships/hyperlink" Target="https://anthropic-partners.skilljar.com/claude-certified-architect-professional-certification" TargetMode="External"/><Relationship Id="rId26" Type="http://schemas.openxmlformats.org/officeDocument/2006/relationships/hyperlink" Target="https://docs.anthropic.com/en/api/overview" TargetMode="External"/><Relationship Id="rId27" Type="http://schemas.openxmlformats.org/officeDocument/2006/relationships/hyperlink" Target="https://docs.anthropic.com/en/docs/mcp" TargetMode="External"/><Relationship Id="rId28" Type="http://schemas.openxmlformats.org/officeDocument/2006/relationships/hyperlink" Target="https://docs.anthropic.com/en/docs/agents" TargetMode="External"/><Relationship Id="rId29" Type="http://schemas.openxmlformats.org/officeDocument/2006/relationships/hyperlink" Target="https://github.com/anthropics/anthropic-cookbook" TargetMode="External"/><Relationship Id="rId30" Type="http://schemas.openxmlformats.org/officeDocument/2006/relationships/hyperlink" Target="https://www.anthropic.com/research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arxiv.org/abs/1706.03762" TargetMode="External"/><Relationship Id="rId2" Type="http://schemas.openxmlformats.org/officeDocument/2006/relationships/hyperlink" Target="https://www.youtube.com/playlist?list=PLoROMvodv4rMFqRtEuo6SGjY4XbRIVx76" TargetMode="External"/><Relationship Id="rId3" Type="http://schemas.openxmlformats.org/officeDocument/2006/relationships/hyperlink" Target="https://www.youtube.com/playlist?list=PLZHQObOWTQDNU6R1_67000Dx_ZCJB-3pi" TargetMode="External"/><Relationship Id="rId4" Type="http://schemas.openxmlformats.org/officeDocument/2006/relationships/hyperlink" Target="https://www.youtube.com/watch?v=kCc8FmEb1nY" TargetMode="External"/><Relationship Id="rId5" Type="http://schemas.openxmlformats.org/officeDocument/2006/relationships/hyperlink" Target="https://www.youtube.com/playlist?list=PLtBw6njQRU-rwp5__7C0oIVt26ZgjG9NI" TargetMode="External"/><Relationship Id="rId6" Type="http://schemas.openxmlformats.org/officeDocument/2006/relationships/hyperlink" Target="https://huggingface.co/learn/nlp-course" TargetMode="External"/><Relationship Id="rId7" Type="http://schemas.openxmlformats.org/officeDocument/2006/relationships/hyperlink" Target="https://www.anthropic.com/research/building-effective-agents" TargetMode="External"/><Relationship Id="rId8" Type="http://schemas.openxmlformats.org/officeDocument/2006/relationships/hyperlink" Target="https://www.promptingguide.ai/" TargetMode="External"/><Relationship Id="rId9" Type="http://schemas.openxmlformats.org/officeDocument/2006/relationships/hyperlink" Target="https://www.youtube.com/watch?v=5h7DA9BxzaY" TargetMode="External"/><Relationship Id="rId10" Type="http://schemas.openxmlformats.org/officeDocument/2006/relationships/hyperlink" Target="https://docs.anthropic.com/en/docs/tool-use" TargetMode="External"/><Relationship Id="rId11" Type="http://schemas.openxmlformats.org/officeDocument/2006/relationships/hyperlink" Target="https://docs.anthropic.com/en/docs/prompt-caching" TargetMode="External"/><Relationship Id="rId12" Type="http://schemas.openxmlformats.org/officeDocument/2006/relationships/hyperlink" Target="https://www.youtube.com/watch?v=tFR3rJ8ndqI" TargetMode="External"/><Relationship Id="rId13" Type="http://schemas.openxmlformats.org/officeDocument/2006/relationships/hyperlink" Target="https://www.youtube.com/watch?v=i53Gi_K3o7I" TargetMode="External"/><Relationship Id="rId14" Type="http://schemas.openxmlformats.org/officeDocument/2006/relationships/hyperlink" Target="https://arxiv.org/abs/2212.08073" TargetMode="External"/><Relationship Id="rId15" Type="http://schemas.openxmlformats.org/officeDocument/2006/relationships/hyperlink" Target="https://www.anthropic.com/claude-model-card" TargetMode="External"/><Relationship Id="rId16" Type="http://schemas.openxmlformats.org/officeDocument/2006/relationships/hyperlink" Target="https://www.anthropic.com/news/announcing-our-updated-responsible-scaling-policy" TargetMode="External"/><Relationship Id="rId17" Type="http://schemas.openxmlformats.org/officeDocument/2006/relationships/hyperlink" Target="https://www.youtube.com/watch?v=2MBJOuVq380" TargetMode="External"/><Relationship Id="rId18" Type="http://schemas.openxmlformats.org/officeDocument/2006/relationships/hyperlink" Target="https://aisafetyfundamentals.com/" TargetMode="External"/><Relationship Id="rId19" Type="http://schemas.openxmlformats.org/officeDocument/2006/relationships/hyperlink" Target="https://github.com/anthropics/anthropic-cookbook" TargetMode="External"/><Relationship Id="rId20" Type="http://schemas.openxmlformats.org/officeDocument/2006/relationships/hyperlink" Target="https://github.com/anthropics/anthropic-sdk-python" TargetMode="External"/><Relationship Id="rId21" Type="http://schemas.openxmlformats.org/officeDocument/2006/relationships/hyperlink" Target="https://github.com/modelcontextprotocol/specification" TargetMode="External"/><Relationship Id="rId22" Type="http://schemas.openxmlformats.org/officeDocument/2006/relationships/hyperlink" Target="https://www.youtube.com/playlist?list=PL1T8fO7ArWleyIqOy37OVXsP4hFXymdOZ" TargetMode="External"/><Relationship Id="rId23" Type="http://schemas.openxmlformats.org/officeDocument/2006/relationships/hyperlink" Target="https://cloud.google.com/vertex-ai/generative-ai/docs/partner-models/use-claude" TargetMode="External"/><Relationship Id="rId24" Type="http://schemas.openxmlformats.org/officeDocument/2006/relationships/hyperlink" Target="https://ocw.mit.edu/courses/6-s897-machine-learning-for-healthcare-spring-2019/" TargetMode="External"/><Relationship Id="rId25" Type="http://schemas.openxmlformats.org/officeDocument/2006/relationships/hyperlink" Target="https://claude.com/solutions/healthcare" TargetMode="External"/><Relationship Id="rId26" Type="http://schemas.openxmlformats.org/officeDocument/2006/relationships/hyperlink" Target="https://www.hhs.gov/hipaa/for-professionals/privacy/guidance/hipaa-online-resources/index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36"/>
    <col collapsed="false" customWidth="true" hidden="false" outlineLevel="0" max="4" min="4" style="1" width="34"/>
    <col collapsed="false" customWidth="true" hidden="false" outlineLevel="0" max="5" min="5" style="1" width="46"/>
    <col collapsed="false" customWidth="true" hidden="false" outlineLevel="0" max="6" min="6" style="1" width="38"/>
    <col collapsed="false" customWidth="true" hidden="false" outlineLevel="0" max="8" min="7" style="1" width="10"/>
    <col collapsed="false" customWidth="true" hidden="false" outlineLevel="0" max="11" min="9" style="1" width="14"/>
    <col collapsed="false" customWidth="true" hidden="false" outlineLevel="0" max="12" min="12" style="1" width="28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8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31.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customFormat="false" ht="51.75" hidden="false" customHeight="true" outlineLevel="0" collapsed="false">
      <c r="A5" s="6" t="n">
        <v>1</v>
      </c>
      <c r="B5" s="7" t="s">
        <v>15</v>
      </c>
      <c r="C5" s="8" t="s">
        <v>16</v>
      </c>
      <c r="D5" s="9" t="s">
        <v>17</v>
      </c>
      <c r="E5" s="10" t="s">
        <v>18</v>
      </c>
      <c r="F5" s="11" t="s">
        <v>19</v>
      </c>
      <c r="G5" s="12" t="n">
        <v>3</v>
      </c>
      <c r="H5" s="13" t="s">
        <v>20</v>
      </c>
      <c r="I5" s="14" t="s">
        <v>21</v>
      </c>
      <c r="J5" s="15"/>
      <c r="K5" s="15"/>
      <c r="L5" s="10"/>
    </row>
    <row r="6" customFormat="false" ht="51.75" hidden="false" customHeight="true" outlineLevel="0" collapsed="false">
      <c r="A6" s="6" t="n">
        <v>2</v>
      </c>
      <c r="B6" s="7" t="s">
        <v>15</v>
      </c>
      <c r="C6" s="16" t="s">
        <v>22</v>
      </c>
      <c r="D6" s="17" t="s">
        <v>23</v>
      </c>
      <c r="E6" s="18" t="s">
        <v>24</v>
      </c>
      <c r="F6" s="19" t="s">
        <v>25</v>
      </c>
      <c r="G6" s="20" t="n">
        <v>4</v>
      </c>
      <c r="H6" s="13" t="s">
        <v>20</v>
      </c>
      <c r="I6" s="14" t="s">
        <v>21</v>
      </c>
      <c r="J6" s="15"/>
      <c r="K6" s="15"/>
      <c r="L6" s="10"/>
    </row>
    <row r="7" customFormat="false" ht="51.75" hidden="false" customHeight="true" outlineLevel="0" collapsed="false">
      <c r="A7" s="6" t="n">
        <v>3</v>
      </c>
      <c r="B7" s="7" t="s">
        <v>15</v>
      </c>
      <c r="C7" s="8" t="s">
        <v>26</v>
      </c>
      <c r="D7" s="9" t="s">
        <v>27</v>
      </c>
      <c r="E7" s="10" t="s">
        <v>28</v>
      </c>
      <c r="F7" s="11" t="s">
        <v>29</v>
      </c>
      <c r="G7" s="12" t="n">
        <v>3</v>
      </c>
      <c r="H7" s="13" t="s">
        <v>20</v>
      </c>
      <c r="I7" s="14" t="s">
        <v>21</v>
      </c>
      <c r="J7" s="15"/>
      <c r="K7" s="15"/>
      <c r="L7" s="10"/>
    </row>
    <row r="8" customFormat="false" ht="51.75" hidden="false" customHeight="true" outlineLevel="0" collapsed="false">
      <c r="A8" s="6" t="n">
        <v>4</v>
      </c>
      <c r="B8" s="7" t="s">
        <v>15</v>
      </c>
      <c r="C8" s="16" t="s">
        <v>30</v>
      </c>
      <c r="D8" s="17" t="s">
        <v>31</v>
      </c>
      <c r="E8" s="18" t="s">
        <v>32</v>
      </c>
      <c r="F8" s="19" t="s">
        <v>33</v>
      </c>
      <c r="G8" s="20" t="n">
        <v>4</v>
      </c>
      <c r="H8" s="13" t="s">
        <v>20</v>
      </c>
      <c r="I8" s="14" t="s">
        <v>21</v>
      </c>
      <c r="J8" s="15"/>
      <c r="K8" s="15"/>
      <c r="L8" s="10"/>
    </row>
    <row r="9" customFormat="false" ht="51.75" hidden="false" customHeight="true" outlineLevel="0" collapsed="false">
      <c r="A9" s="6" t="n">
        <v>5</v>
      </c>
      <c r="B9" s="7" t="s">
        <v>15</v>
      </c>
      <c r="C9" s="8" t="s">
        <v>34</v>
      </c>
      <c r="D9" s="9" t="s">
        <v>35</v>
      </c>
      <c r="E9" s="10" t="s">
        <v>36</v>
      </c>
      <c r="F9" s="11" t="s">
        <v>37</v>
      </c>
      <c r="G9" s="12" t="n">
        <v>8</v>
      </c>
      <c r="H9" s="13" t="s">
        <v>20</v>
      </c>
      <c r="I9" s="14" t="s">
        <v>21</v>
      </c>
      <c r="J9" s="15"/>
      <c r="K9" s="15"/>
      <c r="L9" s="10"/>
    </row>
    <row r="10" customFormat="false" ht="51.75" hidden="false" customHeight="true" outlineLevel="0" collapsed="false">
      <c r="A10" s="6" t="n">
        <v>6</v>
      </c>
      <c r="B10" s="7" t="s">
        <v>15</v>
      </c>
      <c r="C10" s="16" t="s">
        <v>38</v>
      </c>
      <c r="D10" s="17" t="s">
        <v>39</v>
      </c>
      <c r="E10" s="18" t="s">
        <v>40</v>
      </c>
      <c r="F10" s="19" t="s">
        <v>41</v>
      </c>
      <c r="G10" s="20" t="n">
        <v>6</v>
      </c>
      <c r="H10" s="13" t="s">
        <v>20</v>
      </c>
      <c r="I10" s="14" t="s">
        <v>21</v>
      </c>
      <c r="J10" s="15"/>
      <c r="K10" s="15"/>
      <c r="L10" s="10"/>
    </row>
    <row r="11" customFormat="false" ht="51.75" hidden="false" customHeight="true" outlineLevel="0" collapsed="false">
      <c r="A11" s="6" t="n">
        <v>7</v>
      </c>
      <c r="B11" s="7" t="s">
        <v>15</v>
      </c>
      <c r="C11" s="8" t="s">
        <v>42</v>
      </c>
      <c r="D11" s="9" t="s">
        <v>43</v>
      </c>
      <c r="E11" s="10" t="s">
        <v>44</v>
      </c>
      <c r="F11" s="11" t="s">
        <v>45</v>
      </c>
      <c r="G11" s="12" t="n">
        <v>5</v>
      </c>
      <c r="H11" s="13" t="s">
        <v>20</v>
      </c>
      <c r="I11" s="14" t="s">
        <v>21</v>
      </c>
      <c r="J11" s="15"/>
      <c r="K11" s="15"/>
      <c r="L11" s="10"/>
    </row>
    <row r="12" customFormat="false" ht="51.75" hidden="false" customHeight="true" outlineLevel="0" collapsed="false">
      <c r="A12" s="6" t="n">
        <v>8</v>
      </c>
      <c r="B12" s="7" t="s">
        <v>15</v>
      </c>
      <c r="C12" s="16" t="s">
        <v>46</v>
      </c>
      <c r="D12" s="17" t="s">
        <v>47</v>
      </c>
      <c r="E12" s="18" t="s">
        <v>48</v>
      </c>
      <c r="F12" s="19" t="s">
        <v>49</v>
      </c>
      <c r="G12" s="20" t="n">
        <v>3</v>
      </c>
      <c r="H12" s="21" t="s">
        <v>50</v>
      </c>
      <c r="I12" s="14" t="s">
        <v>21</v>
      </c>
      <c r="J12" s="15"/>
      <c r="K12" s="15"/>
      <c r="L12" s="10"/>
    </row>
    <row r="13" customFormat="false" ht="51.75" hidden="false" customHeight="true" outlineLevel="0" collapsed="false">
      <c r="A13" s="6" t="n">
        <v>9</v>
      </c>
      <c r="B13" s="7" t="s">
        <v>15</v>
      </c>
      <c r="C13" s="8" t="s">
        <v>51</v>
      </c>
      <c r="D13" s="9" t="s">
        <v>52</v>
      </c>
      <c r="E13" s="10" t="s">
        <v>53</v>
      </c>
      <c r="F13" s="11" t="s">
        <v>54</v>
      </c>
      <c r="G13" s="12" t="n">
        <v>5</v>
      </c>
      <c r="H13" s="21" t="s">
        <v>50</v>
      </c>
      <c r="I13" s="14" t="s">
        <v>21</v>
      </c>
      <c r="J13" s="15"/>
      <c r="K13" s="15"/>
      <c r="L13" s="10"/>
    </row>
    <row r="14" customFormat="false" ht="51.75" hidden="false" customHeight="true" outlineLevel="0" collapsed="false">
      <c r="A14" s="6" t="n">
        <v>10</v>
      </c>
      <c r="B14" s="7" t="s">
        <v>15</v>
      </c>
      <c r="C14" s="16" t="s">
        <v>55</v>
      </c>
      <c r="D14" s="17" t="s">
        <v>56</v>
      </c>
      <c r="E14" s="18" t="s">
        <v>57</v>
      </c>
      <c r="F14" s="19" t="s">
        <v>58</v>
      </c>
      <c r="G14" s="20" t="n">
        <v>4</v>
      </c>
      <c r="H14" s="21" t="s">
        <v>50</v>
      </c>
      <c r="I14" s="14" t="s">
        <v>21</v>
      </c>
      <c r="J14" s="15"/>
      <c r="K14" s="15"/>
      <c r="L14" s="10"/>
    </row>
    <row r="15" customFormat="false" ht="51.75" hidden="false" customHeight="true" outlineLevel="0" collapsed="false">
      <c r="A15" s="6" t="n">
        <v>11</v>
      </c>
      <c r="B15" s="7" t="s">
        <v>15</v>
      </c>
      <c r="C15" s="8" t="s">
        <v>59</v>
      </c>
      <c r="D15" s="9" t="s">
        <v>60</v>
      </c>
      <c r="E15" s="10" t="s">
        <v>61</v>
      </c>
      <c r="F15" s="11" t="s">
        <v>62</v>
      </c>
      <c r="G15" s="12" t="n">
        <v>4</v>
      </c>
      <c r="H15" s="21" t="s">
        <v>50</v>
      </c>
      <c r="I15" s="14" t="s">
        <v>21</v>
      </c>
      <c r="J15" s="15"/>
      <c r="K15" s="15"/>
      <c r="L15" s="10"/>
    </row>
    <row r="16" customFormat="false" ht="51.75" hidden="false" customHeight="true" outlineLevel="0" collapsed="false">
      <c r="A16" s="6" t="n">
        <v>12</v>
      </c>
      <c r="B16" s="7" t="s">
        <v>15</v>
      </c>
      <c r="C16" s="16" t="s">
        <v>63</v>
      </c>
      <c r="D16" s="17" t="s">
        <v>64</v>
      </c>
      <c r="E16" s="18" t="s">
        <v>65</v>
      </c>
      <c r="F16" s="19" t="s">
        <v>66</v>
      </c>
      <c r="G16" s="20" t="n">
        <v>3</v>
      </c>
      <c r="H16" s="22" t="s">
        <v>67</v>
      </c>
      <c r="I16" s="14" t="s">
        <v>21</v>
      </c>
      <c r="J16" s="15"/>
      <c r="K16" s="15"/>
      <c r="L16" s="10"/>
    </row>
    <row r="17" customFormat="false" ht="51.75" hidden="false" customHeight="true" outlineLevel="0" collapsed="false">
      <c r="A17" s="6" t="n">
        <v>13</v>
      </c>
      <c r="B17" s="7" t="s">
        <v>15</v>
      </c>
      <c r="C17" s="8" t="s">
        <v>68</v>
      </c>
      <c r="D17" s="9" t="s">
        <v>69</v>
      </c>
      <c r="E17" s="10" t="s">
        <v>70</v>
      </c>
      <c r="F17" s="11" t="s">
        <v>71</v>
      </c>
      <c r="G17" s="12" t="n">
        <v>2</v>
      </c>
      <c r="H17" s="22" t="s">
        <v>67</v>
      </c>
      <c r="I17" s="14" t="s">
        <v>21</v>
      </c>
      <c r="J17" s="15"/>
      <c r="K17" s="15"/>
      <c r="L17" s="10"/>
    </row>
    <row r="18" customFormat="false" ht="51.75" hidden="false" customHeight="true" outlineLevel="0" collapsed="false">
      <c r="A18" s="23" t="n">
        <v>14</v>
      </c>
      <c r="B18" s="24" t="s">
        <v>72</v>
      </c>
      <c r="C18" s="25" t="s">
        <v>73</v>
      </c>
      <c r="D18" s="26" t="s">
        <v>74</v>
      </c>
      <c r="E18" s="27" t="s">
        <v>75</v>
      </c>
      <c r="F18" s="28" t="s">
        <v>76</v>
      </c>
      <c r="G18" s="20" t="n">
        <v>1</v>
      </c>
      <c r="H18" s="21" t="s">
        <v>50</v>
      </c>
      <c r="I18" s="14" t="s">
        <v>21</v>
      </c>
      <c r="J18" s="15"/>
      <c r="K18" s="15"/>
      <c r="L18" s="10"/>
    </row>
    <row r="19" customFormat="false" ht="51.75" hidden="false" customHeight="true" outlineLevel="0" collapsed="false">
      <c r="A19" s="23" t="n">
        <v>15</v>
      </c>
      <c r="B19" s="24" t="s">
        <v>72</v>
      </c>
      <c r="C19" s="8" t="s">
        <v>77</v>
      </c>
      <c r="D19" s="9" t="s">
        <v>78</v>
      </c>
      <c r="E19" s="10" t="s">
        <v>79</v>
      </c>
      <c r="F19" s="11" t="s">
        <v>80</v>
      </c>
      <c r="G19" s="12" t="n">
        <v>1</v>
      </c>
      <c r="H19" s="21" t="s">
        <v>50</v>
      </c>
      <c r="I19" s="14" t="s">
        <v>21</v>
      </c>
      <c r="J19" s="15"/>
      <c r="K19" s="15"/>
      <c r="L19" s="10"/>
    </row>
    <row r="20" customFormat="false" ht="51.75" hidden="false" customHeight="true" outlineLevel="0" collapsed="false">
      <c r="A20" s="23" t="n">
        <v>16</v>
      </c>
      <c r="B20" s="24" t="s">
        <v>72</v>
      </c>
      <c r="C20" s="25" t="s">
        <v>81</v>
      </c>
      <c r="D20" s="26" t="s">
        <v>82</v>
      </c>
      <c r="E20" s="27" t="s">
        <v>83</v>
      </c>
      <c r="F20" s="28" t="s">
        <v>84</v>
      </c>
      <c r="G20" s="20" t="n">
        <v>1</v>
      </c>
      <c r="H20" s="21" t="s">
        <v>50</v>
      </c>
      <c r="I20" s="14" t="s">
        <v>21</v>
      </c>
      <c r="J20" s="15"/>
      <c r="K20" s="15"/>
      <c r="L20" s="10"/>
    </row>
    <row r="21" customFormat="false" ht="51.75" hidden="false" customHeight="true" outlineLevel="0" collapsed="false">
      <c r="A21" s="23" t="n">
        <v>17</v>
      </c>
      <c r="B21" s="24" t="s">
        <v>72</v>
      </c>
      <c r="C21" s="8" t="s">
        <v>85</v>
      </c>
      <c r="D21" s="9" t="s">
        <v>86</v>
      </c>
      <c r="E21" s="10" t="s">
        <v>87</v>
      </c>
      <c r="F21" s="11" t="s">
        <v>88</v>
      </c>
      <c r="G21" s="12" t="n">
        <v>5</v>
      </c>
      <c r="H21" s="13" t="s">
        <v>20</v>
      </c>
      <c r="I21" s="14" t="s">
        <v>21</v>
      </c>
      <c r="J21" s="15"/>
      <c r="K21" s="15"/>
      <c r="L21" s="10"/>
    </row>
    <row r="22" customFormat="false" ht="51.75" hidden="false" customHeight="true" outlineLevel="0" collapsed="false">
      <c r="A22" s="23" t="n">
        <v>18</v>
      </c>
      <c r="B22" s="24" t="s">
        <v>72</v>
      </c>
      <c r="C22" s="25" t="s">
        <v>89</v>
      </c>
      <c r="D22" s="26" t="s">
        <v>90</v>
      </c>
      <c r="E22" s="27" t="s">
        <v>91</v>
      </c>
      <c r="F22" s="28" t="s">
        <v>92</v>
      </c>
      <c r="G22" s="20" t="n">
        <v>4</v>
      </c>
      <c r="H22" s="13" t="s">
        <v>20</v>
      </c>
      <c r="I22" s="14" t="s">
        <v>21</v>
      </c>
      <c r="J22" s="15"/>
      <c r="K22" s="15"/>
      <c r="L22" s="10"/>
    </row>
    <row r="23" customFormat="false" ht="51.75" hidden="false" customHeight="true" outlineLevel="0" collapsed="false">
      <c r="A23" s="23" t="n">
        <v>19</v>
      </c>
      <c r="B23" s="24" t="s">
        <v>72</v>
      </c>
      <c r="C23" s="8" t="s">
        <v>93</v>
      </c>
      <c r="D23" s="9" t="s">
        <v>94</v>
      </c>
      <c r="E23" s="10" t="s">
        <v>95</v>
      </c>
      <c r="F23" s="11" t="s">
        <v>96</v>
      </c>
      <c r="G23" s="12" t="n">
        <v>4</v>
      </c>
      <c r="H23" s="21" t="s">
        <v>50</v>
      </c>
      <c r="I23" s="14" t="s">
        <v>21</v>
      </c>
      <c r="J23" s="15"/>
      <c r="K23" s="15"/>
      <c r="L23" s="10"/>
    </row>
    <row r="24" customFormat="false" ht="51.75" hidden="false" customHeight="true" outlineLevel="0" collapsed="false">
      <c r="A24" s="23" t="n">
        <v>20</v>
      </c>
      <c r="B24" s="24" t="s">
        <v>72</v>
      </c>
      <c r="C24" s="25" t="s">
        <v>97</v>
      </c>
      <c r="D24" s="26" t="s">
        <v>98</v>
      </c>
      <c r="E24" s="27" t="s">
        <v>99</v>
      </c>
      <c r="F24" s="28" t="s">
        <v>100</v>
      </c>
      <c r="G24" s="20" t="n">
        <v>3</v>
      </c>
      <c r="H24" s="21" t="s">
        <v>50</v>
      </c>
      <c r="I24" s="14" t="s">
        <v>21</v>
      </c>
      <c r="J24" s="15"/>
      <c r="K24" s="15"/>
      <c r="L24" s="10"/>
    </row>
    <row r="25" customFormat="false" ht="51.75" hidden="false" customHeight="true" outlineLevel="0" collapsed="false">
      <c r="A25" s="29" t="n">
        <v>21</v>
      </c>
      <c r="B25" s="30" t="s">
        <v>101</v>
      </c>
      <c r="C25" s="8" t="s">
        <v>102</v>
      </c>
      <c r="D25" s="9" t="s">
        <v>103</v>
      </c>
      <c r="E25" s="10" t="s">
        <v>104</v>
      </c>
      <c r="F25" s="11" t="s">
        <v>105</v>
      </c>
      <c r="G25" s="12" t="n">
        <v>8</v>
      </c>
      <c r="H25" s="13" t="s">
        <v>20</v>
      </c>
      <c r="I25" s="14" t="s">
        <v>21</v>
      </c>
      <c r="J25" s="15"/>
      <c r="K25" s="15"/>
      <c r="L25" s="10"/>
    </row>
    <row r="26" customFormat="false" ht="51.75" hidden="false" customHeight="true" outlineLevel="0" collapsed="false">
      <c r="A26" s="29" t="n">
        <v>22</v>
      </c>
      <c r="B26" s="30" t="s">
        <v>101</v>
      </c>
      <c r="C26" s="31" t="s">
        <v>106</v>
      </c>
      <c r="D26" s="32" t="s">
        <v>107</v>
      </c>
      <c r="E26" s="33" t="s">
        <v>108</v>
      </c>
      <c r="F26" s="34" t="s">
        <v>109</v>
      </c>
      <c r="G26" s="20" t="n">
        <v>6</v>
      </c>
      <c r="H26" s="13" t="s">
        <v>20</v>
      </c>
      <c r="I26" s="14" t="s">
        <v>21</v>
      </c>
      <c r="J26" s="15"/>
      <c r="K26" s="15"/>
      <c r="L26" s="10"/>
    </row>
    <row r="27" customFormat="false" ht="51.75" hidden="false" customHeight="true" outlineLevel="0" collapsed="false">
      <c r="A27" s="29" t="n">
        <v>23</v>
      </c>
      <c r="B27" s="30" t="s">
        <v>101</v>
      </c>
      <c r="C27" s="35" t="s">
        <v>110</v>
      </c>
      <c r="D27" s="9" t="s">
        <v>111</v>
      </c>
      <c r="E27" s="10" t="s">
        <v>112</v>
      </c>
      <c r="F27" s="11" t="s">
        <v>113</v>
      </c>
      <c r="G27" s="12" t="n">
        <v>2</v>
      </c>
      <c r="H27" s="13" t="s">
        <v>20</v>
      </c>
      <c r="I27" s="14" t="s">
        <v>21</v>
      </c>
      <c r="J27" s="15"/>
      <c r="K27" s="15"/>
      <c r="L27" s="10"/>
    </row>
    <row r="28" customFormat="false" ht="51.75" hidden="false" customHeight="true" outlineLevel="0" collapsed="false">
      <c r="A28" s="29" t="n">
        <v>24</v>
      </c>
      <c r="B28" s="30" t="s">
        <v>101</v>
      </c>
      <c r="C28" s="31" t="s">
        <v>114</v>
      </c>
      <c r="D28" s="32" t="s">
        <v>115</v>
      </c>
      <c r="E28" s="33" t="s">
        <v>116</v>
      </c>
      <c r="F28" s="34" t="s">
        <v>117</v>
      </c>
      <c r="G28" s="20" t="n">
        <v>8</v>
      </c>
      <c r="H28" s="13" t="s">
        <v>20</v>
      </c>
      <c r="I28" s="14" t="s">
        <v>21</v>
      </c>
      <c r="J28" s="15"/>
      <c r="K28" s="15"/>
      <c r="L28" s="10"/>
    </row>
    <row r="29" customFormat="false" ht="51.75" hidden="false" customHeight="true" outlineLevel="0" collapsed="false">
      <c r="A29" s="29" t="n">
        <v>25</v>
      </c>
      <c r="B29" s="30" t="s">
        <v>101</v>
      </c>
      <c r="C29" s="35" t="s">
        <v>118</v>
      </c>
      <c r="D29" s="9" t="s">
        <v>115</v>
      </c>
      <c r="E29" s="10" t="s">
        <v>119</v>
      </c>
      <c r="F29" s="11" t="s">
        <v>120</v>
      </c>
      <c r="G29" s="12" t="n">
        <v>2</v>
      </c>
      <c r="H29" s="13" t="s">
        <v>20</v>
      </c>
      <c r="I29" s="14" t="s">
        <v>21</v>
      </c>
      <c r="J29" s="15"/>
      <c r="K29" s="15"/>
      <c r="L29" s="10"/>
    </row>
    <row r="30" customFormat="false" ht="51.75" hidden="false" customHeight="true" outlineLevel="0" collapsed="false">
      <c r="A30" s="36" t="n">
        <v>26</v>
      </c>
      <c r="B30" s="37" t="s">
        <v>121</v>
      </c>
      <c r="C30" s="38" t="s">
        <v>122</v>
      </c>
      <c r="D30" s="39" t="s">
        <v>123</v>
      </c>
      <c r="E30" s="40" t="s">
        <v>124</v>
      </c>
      <c r="F30" s="41" t="s">
        <v>125</v>
      </c>
      <c r="G30" s="20" t="n">
        <v>12</v>
      </c>
      <c r="H30" s="21" t="s">
        <v>50</v>
      </c>
      <c r="I30" s="14" t="s">
        <v>21</v>
      </c>
      <c r="J30" s="15"/>
      <c r="K30" s="15"/>
      <c r="L30" s="10"/>
    </row>
    <row r="31" customFormat="false" ht="51.75" hidden="false" customHeight="true" outlineLevel="0" collapsed="false">
      <c r="A31" s="36" t="n">
        <v>27</v>
      </c>
      <c r="B31" s="37" t="s">
        <v>121</v>
      </c>
      <c r="C31" s="8" t="s">
        <v>126</v>
      </c>
      <c r="D31" s="9" t="s">
        <v>127</v>
      </c>
      <c r="E31" s="10" t="s">
        <v>128</v>
      </c>
      <c r="F31" s="11" t="s">
        <v>129</v>
      </c>
      <c r="G31" s="12" t="n">
        <v>10</v>
      </c>
      <c r="H31" s="21" t="s">
        <v>50</v>
      </c>
      <c r="I31" s="14" t="s">
        <v>21</v>
      </c>
      <c r="J31" s="15"/>
      <c r="K31" s="15"/>
      <c r="L31" s="10"/>
    </row>
    <row r="32" customFormat="false" ht="51.75" hidden="false" customHeight="true" outlineLevel="0" collapsed="false">
      <c r="A32" s="36" t="n">
        <v>28</v>
      </c>
      <c r="B32" s="37" t="s">
        <v>121</v>
      </c>
      <c r="C32" s="38" t="s">
        <v>130</v>
      </c>
      <c r="D32" s="39" t="s">
        <v>131</v>
      </c>
      <c r="E32" s="40" t="s">
        <v>132</v>
      </c>
      <c r="F32" s="41" t="s">
        <v>133</v>
      </c>
      <c r="G32" s="20" t="n">
        <v>16</v>
      </c>
      <c r="H32" s="21" t="s">
        <v>50</v>
      </c>
      <c r="I32" s="14" t="s">
        <v>21</v>
      </c>
      <c r="J32" s="15"/>
      <c r="K32" s="15"/>
      <c r="L32" s="10"/>
    </row>
    <row r="33" customFormat="false" ht="51.75" hidden="false" customHeight="true" outlineLevel="0" collapsed="false">
      <c r="A33" s="36" t="n">
        <v>29</v>
      </c>
      <c r="B33" s="37" t="s">
        <v>121</v>
      </c>
      <c r="C33" s="8" t="s">
        <v>134</v>
      </c>
      <c r="D33" s="9" t="s">
        <v>135</v>
      </c>
      <c r="E33" s="10" t="s">
        <v>136</v>
      </c>
      <c r="F33" s="11" t="s">
        <v>137</v>
      </c>
      <c r="G33" s="12" t="n">
        <v>8</v>
      </c>
      <c r="H33" s="22" t="s">
        <v>67</v>
      </c>
      <c r="I33" s="14" t="s">
        <v>21</v>
      </c>
      <c r="J33" s="15"/>
      <c r="K33" s="15"/>
      <c r="L33" s="10"/>
    </row>
    <row r="34" customFormat="false" ht="51.75" hidden="false" customHeight="true" outlineLevel="0" collapsed="false">
      <c r="A34" s="36" t="n">
        <v>30</v>
      </c>
      <c r="B34" s="37" t="s">
        <v>121</v>
      </c>
      <c r="C34" s="38" t="s">
        <v>138</v>
      </c>
      <c r="D34" s="39" t="s">
        <v>139</v>
      </c>
      <c r="E34" s="40" t="s">
        <v>140</v>
      </c>
      <c r="F34" s="41" t="s">
        <v>141</v>
      </c>
      <c r="G34" s="20" t="n">
        <v>6</v>
      </c>
      <c r="H34" s="21" t="s">
        <v>50</v>
      </c>
      <c r="I34" s="14" t="s">
        <v>21</v>
      </c>
      <c r="J34" s="15"/>
      <c r="K34" s="15"/>
      <c r="L34" s="10"/>
    </row>
    <row r="35" customFormat="false" ht="25.5" hidden="false" customHeight="true" outlineLevel="0" collapsed="false">
      <c r="A35" s="42" t="s">
        <v>142</v>
      </c>
      <c r="B35" s="42"/>
      <c r="C35" s="42"/>
      <c r="D35" s="42"/>
      <c r="E35" s="42"/>
      <c r="F35" s="42"/>
      <c r="G35" s="43" t="n">
        <f aca="false">SUM(G5:G34)</f>
        <v>151</v>
      </c>
      <c r="H35" s="44"/>
      <c r="I35" s="44"/>
      <c r="J35" s="44"/>
      <c r="K35" s="44"/>
      <c r="L35" s="44"/>
    </row>
  </sheetData>
  <mergeCells count="4">
    <mergeCell ref="A1:L1"/>
    <mergeCell ref="A2:L2"/>
    <mergeCell ref="A3:L3"/>
    <mergeCell ref="A35:F35"/>
  </mergeCells>
  <dataValidations count="1">
    <dataValidation allowBlank="false" errorStyle="stop" operator="between" showDropDown="false" showErrorMessage="false" showInputMessage="false" sqref="I5:I34" type="list">
      <formula1>"Completed ✅,In Progress 🔄,Not Started ⬜,Skipped ⏭"</formula1>
      <formula2>0</formula2>
    </dataValidation>
  </dataValidations>
  <hyperlinks>
    <hyperlink ref="D5" r:id="rId1" display="https://anthropic.skilljar.com/ai-capabilities-and-limitations"/>
    <hyperlink ref="D6" r:id="rId2" display="https://anthropic.skilljar.com/ai-fluency-framework-foundations"/>
    <hyperlink ref="D7" r:id="rId3" display="https://anthropic.skilljar.com/claude-101"/>
    <hyperlink ref="D8" r:id="rId4" display="https://anthropic.skilljar.com/claude-platform-101"/>
    <hyperlink ref="D9" r:id="rId5" display="https://anthropic.skilljar.com/claude-with-the-anthropic-api"/>
    <hyperlink ref="D10" r:id="rId6" display="https://anthropic.skilljar.com/introduction-to-model-context-protocol"/>
    <hyperlink ref="D11" r:id="rId7" display="https://anthropic.skilljar.com/model-context-protocol-advanced-topics"/>
    <hyperlink ref="D12" r:id="rId8" display="https://anthropic.skilljar.com/claude-code-101"/>
    <hyperlink ref="D13" r:id="rId9" display="https://anthropic.skilljar.com/claude-code-in-action"/>
    <hyperlink ref="D14" r:id="rId10" display="https://anthropic.skilljar.com/introduction-to-agent-skills"/>
    <hyperlink ref="D15" r:id="rId11" display="https://anthropic.skilljar.com/introduction-to-subagents"/>
    <hyperlink ref="D16" r:id="rId12" display="https://anthropic.skilljar.com/ai-fluency-for-builders"/>
    <hyperlink ref="D17" r:id="rId13" display="https://anthropic.skilljar.com/introduction-to-claude-cowork"/>
    <hyperlink ref="D18" r:id="rId14" display="https://anthropic-partners.skilljar.com/claude-partner-network-connect-episode-01"/>
    <hyperlink ref="D19" r:id="rId15" display="https://anthropic-partners.skilljar.com/cpn-connect-episode-02"/>
    <hyperlink ref="D20" r:id="rId16" display="https://anthropic-partners.skilljar.com/claude-partner-network-connect-episode-03"/>
    <hyperlink ref="D21" r:id="rId17" display="https://anthropic-partners.skilljar.com/claude-with-the-anthropic-api"/>
    <hyperlink ref="D22" r:id="rId18" display="https://anthropic-partners.skilljar.com/introduction-to-model-context-protocol"/>
    <hyperlink ref="D23" r:id="rId19" display="https://anthropic-partners.skilljar.com/claude-code-in-action"/>
    <hyperlink ref="D24" r:id="rId20" display="https://anthropic-partners.skilljar.com/introduction-to-agent-skills"/>
    <hyperlink ref="D25" r:id="rId21" display="https://anthropic-partners.skilljar.com/page/claude-certification-exam-prep-courses"/>
    <hyperlink ref="D26" r:id="rId22" display="https://claudecertificationguide.com/blog/new-claude-certifications-2026"/>
    <hyperlink ref="D27" r:id="rId23" display="https://anthropic-partners.skilljar.com/claude-certified-architect-foundations-certification"/>
    <hyperlink ref="D28" r:id="rId24" display="https://anthropic-partners.skilljar.com/claude-certified-architect-professional-certification"/>
    <hyperlink ref="D29" r:id="rId25" display="https://anthropic-partners.skilljar.com/claude-certified-architect-professional-certification"/>
    <hyperlink ref="D30" r:id="rId26" display="https://docs.anthropic.com/en/api/overview"/>
    <hyperlink ref="D31" r:id="rId27" display="https://docs.anthropic.com/en/docs/mcp"/>
    <hyperlink ref="D32" r:id="rId28" display="https://docs.anthropic.com/en/docs/agents"/>
    <hyperlink ref="D33" r:id="rId29" display="https://github.com/anthropics/anthropic-cookbook"/>
    <hyperlink ref="D34" r:id="rId30" display="https://www.anthropic.com/resear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40"/>
    <col collapsed="false" customWidth="true" hidden="false" outlineLevel="0" max="4" min="4" style="1" width="45"/>
    <col collapsed="false" customWidth="true" hidden="false" outlineLevel="0" max="5" min="5" style="1" width="46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6"/>
  </cols>
  <sheetData>
    <row r="1" customFormat="false" ht="36" hidden="false" customHeight="true" outlineLevel="0" collapsed="false">
      <c r="A1" s="2" t="s">
        <v>143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45" t="s">
        <v>144</v>
      </c>
      <c r="B2" s="45"/>
      <c r="C2" s="45"/>
      <c r="D2" s="45"/>
      <c r="E2" s="45"/>
      <c r="F2" s="45"/>
      <c r="G2" s="45"/>
      <c r="H2" s="45"/>
    </row>
    <row r="3" customFormat="false" ht="15.75" hidden="false" customHeight="true" outlineLevel="0" collapsed="false">
      <c r="A3" s="4" t="s">
        <v>145</v>
      </c>
      <c r="B3" s="4"/>
      <c r="C3" s="4"/>
      <c r="D3" s="4"/>
      <c r="E3" s="4"/>
      <c r="F3" s="4"/>
      <c r="G3" s="4"/>
      <c r="H3" s="4"/>
    </row>
    <row r="4" customFormat="false" ht="30" hidden="false" customHeight="true" outlineLevel="0" collapsed="false">
      <c r="A4" s="5" t="s">
        <v>3</v>
      </c>
      <c r="B4" s="5" t="s">
        <v>146</v>
      </c>
      <c r="C4" s="5" t="s">
        <v>147</v>
      </c>
      <c r="D4" s="5" t="s">
        <v>148</v>
      </c>
      <c r="E4" s="5" t="s">
        <v>149</v>
      </c>
      <c r="F4" s="5" t="s">
        <v>150</v>
      </c>
      <c r="G4" s="5" t="s">
        <v>151</v>
      </c>
      <c r="H4" s="5" t="s">
        <v>11</v>
      </c>
    </row>
    <row r="5" customFormat="false" ht="45.75" hidden="false" customHeight="true" outlineLevel="0" collapsed="false">
      <c r="A5" s="46" t="n">
        <v>1</v>
      </c>
      <c r="B5" s="47" t="s">
        <v>152</v>
      </c>
      <c r="C5" s="35" t="s">
        <v>153</v>
      </c>
      <c r="D5" s="9" t="s">
        <v>154</v>
      </c>
      <c r="E5" s="10" t="s">
        <v>155</v>
      </c>
      <c r="F5" s="48" t="s">
        <v>156</v>
      </c>
      <c r="G5" s="49" t="s">
        <v>157</v>
      </c>
      <c r="H5" s="14" t="s">
        <v>21</v>
      </c>
    </row>
    <row r="6" customFormat="false" ht="45.75" hidden="false" customHeight="true" outlineLevel="0" collapsed="false">
      <c r="A6" s="46" t="n">
        <v>2</v>
      </c>
      <c r="B6" s="47" t="s">
        <v>152</v>
      </c>
      <c r="C6" s="50" t="s">
        <v>158</v>
      </c>
      <c r="D6" s="17" t="s">
        <v>159</v>
      </c>
      <c r="E6" s="18" t="s">
        <v>160</v>
      </c>
      <c r="F6" s="51" t="s">
        <v>161</v>
      </c>
      <c r="G6" s="52" t="s">
        <v>162</v>
      </c>
      <c r="H6" s="14" t="s">
        <v>21</v>
      </c>
    </row>
    <row r="7" customFormat="false" ht="45.75" hidden="false" customHeight="true" outlineLevel="0" collapsed="false">
      <c r="A7" s="46" t="n">
        <v>3</v>
      </c>
      <c r="B7" s="47" t="s">
        <v>152</v>
      </c>
      <c r="C7" s="35" t="s">
        <v>163</v>
      </c>
      <c r="D7" s="9" t="s">
        <v>164</v>
      </c>
      <c r="E7" s="10" t="s">
        <v>165</v>
      </c>
      <c r="F7" s="48" t="s">
        <v>166</v>
      </c>
      <c r="G7" s="49" t="s">
        <v>167</v>
      </c>
      <c r="H7" s="14" t="s">
        <v>21</v>
      </c>
    </row>
    <row r="8" customFormat="false" ht="45.75" hidden="false" customHeight="true" outlineLevel="0" collapsed="false">
      <c r="A8" s="46" t="n">
        <v>4</v>
      </c>
      <c r="B8" s="47" t="s">
        <v>152</v>
      </c>
      <c r="C8" s="50" t="s">
        <v>168</v>
      </c>
      <c r="D8" s="17" t="s">
        <v>169</v>
      </c>
      <c r="E8" s="18" t="s">
        <v>170</v>
      </c>
      <c r="F8" s="51" t="s">
        <v>171</v>
      </c>
      <c r="G8" s="52" t="s">
        <v>172</v>
      </c>
      <c r="H8" s="14" t="s">
        <v>21</v>
      </c>
    </row>
    <row r="9" customFormat="false" ht="45.75" hidden="false" customHeight="true" outlineLevel="0" collapsed="false">
      <c r="A9" s="46" t="n">
        <v>5</v>
      </c>
      <c r="B9" s="47" t="s">
        <v>152</v>
      </c>
      <c r="C9" s="35" t="s">
        <v>173</v>
      </c>
      <c r="D9" s="9" t="s">
        <v>174</v>
      </c>
      <c r="E9" s="10" t="s">
        <v>175</v>
      </c>
      <c r="F9" s="48" t="s">
        <v>161</v>
      </c>
      <c r="G9" s="49" t="s">
        <v>176</v>
      </c>
      <c r="H9" s="14" t="s">
        <v>21</v>
      </c>
    </row>
    <row r="10" customFormat="false" ht="45.75" hidden="false" customHeight="true" outlineLevel="0" collapsed="false">
      <c r="A10" s="46" t="n">
        <v>6</v>
      </c>
      <c r="B10" s="47" t="s">
        <v>152</v>
      </c>
      <c r="C10" s="50" t="s">
        <v>177</v>
      </c>
      <c r="D10" s="17" t="s">
        <v>178</v>
      </c>
      <c r="E10" s="18" t="s">
        <v>179</v>
      </c>
      <c r="F10" s="51" t="s">
        <v>180</v>
      </c>
      <c r="G10" s="52" t="s">
        <v>181</v>
      </c>
      <c r="H10" s="14" t="s">
        <v>21</v>
      </c>
    </row>
    <row r="11" customFormat="false" ht="45.75" hidden="false" customHeight="true" outlineLevel="0" collapsed="false">
      <c r="A11" s="53" t="n">
        <v>7</v>
      </c>
      <c r="B11" s="54" t="s">
        <v>182</v>
      </c>
      <c r="C11" s="35" t="s">
        <v>183</v>
      </c>
      <c r="D11" s="9" t="s">
        <v>184</v>
      </c>
      <c r="E11" s="10" t="s">
        <v>185</v>
      </c>
      <c r="F11" s="48" t="s">
        <v>186</v>
      </c>
      <c r="G11" s="49" t="s">
        <v>187</v>
      </c>
      <c r="H11" s="14" t="s">
        <v>21</v>
      </c>
    </row>
    <row r="12" customFormat="false" ht="45.75" hidden="false" customHeight="true" outlineLevel="0" collapsed="false">
      <c r="A12" s="53" t="n">
        <v>8</v>
      </c>
      <c r="B12" s="54" t="s">
        <v>182</v>
      </c>
      <c r="C12" s="55" t="s">
        <v>188</v>
      </c>
      <c r="D12" s="26" t="s">
        <v>189</v>
      </c>
      <c r="E12" s="27" t="s">
        <v>190</v>
      </c>
      <c r="F12" s="56" t="s">
        <v>191</v>
      </c>
      <c r="G12" s="57" t="s">
        <v>192</v>
      </c>
      <c r="H12" s="14" t="s">
        <v>21</v>
      </c>
    </row>
    <row r="13" customFormat="false" ht="45.75" hidden="false" customHeight="true" outlineLevel="0" collapsed="false">
      <c r="A13" s="53" t="n">
        <v>9</v>
      </c>
      <c r="B13" s="54" t="s">
        <v>182</v>
      </c>
      <c r="C13" s="35" t="s">
        <v>193</v>
      </c>
      <c r="D13" s="9" t="s">
        <v>194</v>
      </c>
      <c r="E13" s="10" t="s">
        <v>195</v>
      </c>
      <c r="F13" s="48" t="s">
        <v>196</v>
      </c>
      <c r="G13" s="49" t="s">
        <v>197</v>
      </c>
      <c r="H13" s="14" t="s">
        <v>21</v>
      </c>
    </row>
    <row r="14" customFormat="false" ht="45.75" hidden="false" customHeight="true" outlineLevel="0" collapsed="false">
      <c r="A14" s="53" t="n">
        <v>10</v>
      </c>
      <c r="B14" s="54" t="s">
        <v>182</v>
      </c>
      <c r="C14" s="55" t="s">
        <v>198</v>
      </c>
      <c r="D14" s="26" t="s">
        <v>199</v>
      </c>
      <c r="E14" s="27" t="s">
        <v>200</v>
      </c>
      <c r="F14" s="56" t="s">
        <v>201</v>
      </c>
      <c r="G14" s="57" t="s">
        <v>157</v>
      </c>
      <c r="H14" s="14" t="s">
        <v>21</v>
      </c>
    </row>
    <row r="15" customFormat="false" ht="45.75" hidden="false" customHeight="true" outlineLevel="0" collapsed="false">
      <c r="A15" s="53" t="n">
        <v>11</v>
      </c>
      <c r="B15" s="54" t="s">
        <v>182</v>
      </c>
      <c r="C15" s="35" t="s">
        <v>202</v>
      </c>
      <c r="D15" s="9" t="s">
        <v>203</v>
      </c>
      <c r="E15" s="10" t="s">
        <v>204</v>
      </c>
      <c r="F15" s="48" t="s">
        <v>201</v>
      </c>
      <c r="G15" s="49" t="s">
        <v>187</v>
      </c>
      <c r="H15" s="14" t="s">
        <v>21</v>
      </c>
    </row>
    <row r="16" customFormat="false" ht="45.75" hidden="false" customHeight="true" outlineLevel="0" collapsed="false">
      <c r="A16" s="53" t="n">
        <v>12</v>
      </c>
      <c r="B16" s="54" t="s">
        <v>182</v>
      </c>
      <c r="C16" s="55" t="s">
        <v>205</v>
      </c>
      <c r="D16" s="26" t="s">
        <v>206</v>
      </c>
      <c r="E16" s="27" t="s">
        <v>207</v>
      </c>
      <c r="F16" s="56" t="s">
        <v>196</v>
      </c>
      <c r="G16" s="57" t="s">
        <v>187</v>
      </c>
      <c r="H16" s="14" t="s">
        <v>21</v>
      </c>
    </row>
    <row r="17" customFormat="false" ht="45.75" hidden="false" customHeight="true" outlineLevel="0" collapsed="false">
      <c r="A17" s="53" t="n">
        <v>13</v>
      </c>
      <c r="B17" s="54" t="s">
        <v>182</v>
      </c>
      <c r="C17" s="35" t="s">
        <v>208</v>
      </c>
      <c r="D17" s="9" t="s">
        <v>209</v>
      </c>
      <c r="E17" s="10" t="s">
        <v>210</v>
      </c>
      <c r="F17" s="48" t="s">
        <v>196</v>
      </c>
      <c r="G17" s="49" t="s">
        <v>187</v>
      </c>
      <c r="H17" s="14" t="s">
        <v>21</v>
      </c>
    </row>
    <row r="18" customFormat="false" ht="45.75" hidden="false" customHeight="true" outlineLevel="0" collapsed="false">
      <c r="A18" s="58" t="n">
        <v>14</v>
      </c>
      <c r="B18" s="59" t="s">
        <v>211</v>
      </c>
      <c r="C18" s="60" t="s">
        <v>212</v>
      </c>
      <c r="D18" s="32" t="s">
        <v>213</v>
      </c>
      <c r="E18" s="33" t="s">
        <v>214</v>
      </c>
      <c r="F18" s="61" t="s">
        <v>156</v>
      </c>
      <c r="G18" s="62" t="s">
        <v>157</v>
      </c>
      <c r="H18" s="14" t="s">
        <v>21</v>
      </c>
    </row>
    <row r="19" customFormat="false" ht="45.75" hidden="false" customHeight="true" outlineLevel="0" collapsed="false">
      <c r="A19" s="58" t="n">
        <v>15</v>
      </c>
      <c r="B19" s="59" t="s">
        <v>211</v>
      </c>
      <c r="C19" s="35" t="s">
        <v>215</v>
      </c>
      <c r="D19" s="9" t="s">
        <v>216</v>
      </c>
      <c r="E19" s="10" t="s">
        <v>217</v>
      </c>
      <c r="F19" s="48" t="s">
        <v>218</v>
      </c>
      <c r="G19" s="49" t="s">
        <v>187</v>
      </c>
      <c r="H19" s="14" t="s">
        <v>21</v>
      </c>
    </row>
    <row r="20" customFormat="false" ht="45.75" hidden="false" customHeight="true" outlineLevel="0" collapsed="false">
      <c r="A20" s="58" t="n">
        <v>16</v>
      </c>
      <c r="B20" s="59" t="s">
        <v>211</v>
      </c>
      <c r="C20" s="60" t="s">
        <v>219</v>
      </c>
      <c r="D20" s="32" t="s">
        <v>220</v>
      </c>
      <c r="E20" s="33" t="s">
        <v>221</v>
      </c>
      <c r="F20" s="61" t="s">
        <v>222</v>
      </c>
      <c r="G20" s="62" t="s">
        <v>187</v>
      </c>
      <c r="H20" s="14" t="s">
        <v>21</v>
      </c>
    </row>
    <row r="21" customFormat="false" ht="45.75" hidden="false" customHeight="true" outlineLevel="0" collapsed="false">
      <c r="A21" s="58" t="n">
        <v>17</v>
      </c>
      <c r="B21" s="59" t="s">
        <v>211</v>
      </c>
      <c r="C21" s="35" t="s">
        <v>223</v>
      </c>
      <c r="D21" s="9" t="s">
        <v>224</v>
      </c>
      <c r="E21" s="10" t="s">
        <v>225</v>
      </c>
      <c r="F21" s="48" t="s">
        <v>196</v>
      </c>
      <c r="G21" s="49" t="s">
        <v>187</v>
      </c>
      <c r="H21" s="14" t="s">
        <v>21</v>
      </c>
    </row>
    <row r="22" customFormat="false" ht="45.75" hidden="false" customHeight="true" outlineLevel="0" collapsed="false">
      <c r="A22" s="58" t="n">
        <v>18</v>
      </c>
      <c r="B22" s="59" t="s">
        <v>211</v>
      </c>
      <c r="C22" s="60" t="s">
        <v>226</v>
      </c>
      <c r="D22" s="32" t="s">
        <v>227</v>
      </c>
      <c r="E22" s="33" t="s">
        <v>228</v>
      </c>
      <c r="F22" s="61" t="s">
        <v>180</v>
      </c>
      <c r="G22" s="62" t="s">
        <v>229</v>
      </c>
      <c r="H22" s="14" t="s">
        <v>21</v>
      </c>
    </row>
    <row r="23" customFormat="false" ht="45.75" hidden="false" customHeight="true" outlineLevel="0" collapsed="false">
      <c r="A23" s="63" t="n">
        <v>19</v>
      </c>
      <c r="B23" s="64" t="s">
        <v>230</v>
      </c>
      <c r="C23" s="35" t="s">
        <v>231</v>
      </c>
      <c r="D23" s="9" t="s">
        <v>135</v>
      </c>
      <c r="E23" s="10" t="s">
        <v>232</v>
      </c>
      <c r="F23" s="48" t="s">
        <v>233</v>
      </c>
      <c r="G23" s="49" t="s">
        <v>162</v>
      </c>
      <c r="H23" s="14" t="s">
        <v>21</v>
      </c>
    </row>
    <row r="24" customFormat="false" ht="45.75" hidden="false" customHeight="true" outlineLevel="0" collapsed="false">
      <c r="A24" s="63" t="n">
        <v>20</v>
      </c>
      <c r="B24" s="64" t="s">
        <v>230</v>
      </c>
      <c r="C24" s="65" t="s">
        <v>234</v>
      </c>
      <c r="D24" s="39" t="s">
        <v>235</v>
      </c>
      <c r="E24" s="40" t="s">
        <v>236</v>
      </c>
      <c r="F24" s="66" t="s">
        <v>237</v>
      </c>
      <c r="G24" s="67" t="s">
        <v>157</v>
      </c>
      <c r="H24" s="14" t="s">
        <v>21</v>
      </c>
    </row>
    <row r="25" customFormat="false" ht="45.75" hidden="false" customHeight="true" outlineLevel="0" collapsed="false">
      <c r="A25" s="63" t="n">
        <v>21</v>
      </c>
      <c r="B25" s="64" t="s">
        <v>230</v>
      </c>
      <c r="C25" s="35" t="s">
        <v>238</v>
      </c>
      <c r="D25" s="9" t="s">
        <v>239</v>
      </c>
      <c r="E25" s="10" t="s">
        <v>240</v>
      </c>
      <c r="F25" s="48" t="s">
        <v>241</v>
      </c>
      <c r="G25" s="49" t="s">
        <v>192</v>
      </c>
      <c r="H25" s="14" t="s">
        <v>21</v>
      </c>
    </row>
    <row r="26" customFormat="false" ht="45.75" hidden="false" customHeight="true" outlineLevel="0" collapsed="false">
      <c r="A26" s="63" t="n">
        <v>22</v>
      </c>
      <c r="B26" s="64" t="s">
        <v>230</v>
      </c>
      <c r="C26" s="65" t="s">
        <v>242</v>
      </c>
      <c r="D26" s="39" t="s">
        <v>243</v>
      </c>
      <c r="E26" s="40" t="s">
        <v>244</v>
      </c>
      <c r="F26" s="66" t="s">
        <v>161</v>
      </c>
      <c r="G26" s="67" t="s">
        <v>181</v>
      </c>
      <c r="H26" s="14" t="s">
        <v>21</v>
      </c>
    </row>
    <row r="27" customFormat="false" ht="45.75" hidden="false" customHeight="true" outlineLevel="0" collapsed="false">
      <c r="A27" s="63" t="n">
        <v>23</v>
      </c>
      <c r="B27" s="64" t="s">
        <v>230</v>
      </c>
      <c r="C27" s="35" t="s">
        <v>245</v>
      </c>
      <c r="D27" s="9" t="s">
        <v>246</v>
      </c>
      <c r="E27" s="10" t="s">
        <v>247</v>
      </c>
      <c r="F27" s="48" t="s">
        <v>201</v>
      </c>
      <c r="G27" s="49" t="s">
        <v>157</v>
      </c>
      <c r="H27" s="14" t="s">
        <v>21</v>
      </c>
    </row>
    <row r="28" customFormat="false" ht="45.75" hidden="false" customHeight="true" outlineLevel="0" collapsed="false">
      <c r="A28" s="68" t="n">
        <v>24</v>
      </c>
      <c r="B28" s="69" t="s">
        <v>248</v>
      </c>
      <c r="C28" s="70" t="s">
        <v>249</v>
      </c>
      <c r="D28" s="71" t="s">
        <v>250</v>
      </c>
      <c r="E28" s="72" t="s">
        <v>251</v>
      </c>
      <c r="F28" s="73" t="s">
        <v>180</v>
      </c>
      <c r="G28" s="74" t="s">
        <v>252</v>
      </c>
      <c r="H28" s="14" t="s">
        <v>21</v>
      </c>
    </row>
    <row r="29" customFormat="false" ht="45.75" hidden="false" customHeight="true" outlineLevel="0" collapsed="false">
      <c r="A29" s="68" t="n">
        <v>25</v>
      </c>
      <c r="B29" s="69" t="s">
        <v>248</v>
      </c>
      <c r="C29" s="35" t="s">
        <v>253</v>
      </c>
      <c r="D29" s="9" t="s">
        <v>254</v>
      </c>
      <c r="E29" s="10" t="s">
        <v>255</v>
      </c>
      <c r="F29" s="48" t="s">
        <v>256</v>
      </c>
      <c r="G29" s="49" t="s">
        <v>257</v>
      </c>
      <c r="H29" s="14" t="s">
        <v>21</v>
      </c>
    </row>
    <row r="30" customFormat="false" ht="45.75" hidden="false" customHeight="true" outlineLevel="0" collapsed="false">
      <c r="A30" s="68" t="n">
        <v>26</v>
      </c>
      <c r="B30" s="69" t="s">
        <v>248</v>
      </c>
      <c r="C30" s="70" t="s">
        <v>258</v>
      </c>
      <c r="D30" s="71" t="s">
        <v>259</v>
      </c>
      <c r="E30" s="72" t="s">
        <v>260</v>
      </c>
      <c r="F30" s="73" t="s">
        <v>201</v>
      </c>
      <c r="G30" s="74" t="s">
        <v>167</v>
      </c>
      <c r="H30" s="14" t="s">
        <v>21</v>
      </c>
    </row>
  </sheetData>
  <mergeCells count="3">
    <mergeCell ref="A1:H1"/>
    <mergeCell ref="A2:H2"/>
    <mergeCell ref="A3:H3"/>
  </mergeCells>
  <dataValidations count="1">
    <dataValidation allowBlank="false" errorStyle="stop" operator="between" showDropDown="false" showErrorMessage="false" showInputMessage="false" sqref="H5:H30" type="list">
      <formula1>"Completed ✅,In Progress 🔄,Not Started ⬜,Skipped ⏭"</formula1>
      <formula2>0</formula2>
    </dataValidation>
  </dataValidations>
  <hyperlinks>
    <hyperlink ref="D5" r:id="rId1" display="https://arxiv.org/abs/1706.03762"/>
    <hyperlink ref="D6" r:id="rId2" display="https://www.youtube.com/playlist?list=PLoROMvodv4rMFqRtEuo6SGjY4XbRIVx76"/>
    <hyperlink ref="D7" r:id="rId3" display="https://www.youtube.com/playlist?list=PLZHQObOWTQDNU6R1_67000Dx_ZCJB-3pi"/>
    <hyperlink ref="D8" r:id="rId4" display="https://www.youtube.com/watch?v=kCc8FmEb1nY"/>
    <hyperlink ref="D9" r:id="rId5" display="https://www.youtube.com/playlist?list=PLtBw6njQRU-rwp5__7C0oIVt26ZgjG9NI"/>
    <hyperlink ref="D10" r:id="rId6" display="https://huggingface.co/learn/nlp-course"/>
    <hyperlink ref="D11" r:id="rId7" display="https://www.anthropic.com/research/building-effective-agents"/>
    <hyperlink ref="D12" r:id="rId8" display="https://www.promptingguide.ai/"/>
    <hyperlink ref="D13" r:id="rId9" display="https://www.youtube.com/watch?v=5h7DA9BxzaY"/>
    <hyperlink ref="D14" r:id="rId10" display="https://docs.anthropic.com/en/docs/tool-use"/>
    <hyperlink ref="D15" r:id="rId11" display="https://docs.anthropic.com/en/docs/prompt-caching"/>
    <hyperlink ref="D16" r:id="rId12" display="https://www.youtube.com/watch?v=tFR3rJ8ndqI"/>
    <hyperlink ref="D17" r:id="rId13" display="https://www.youtube.com/watch?v=i53Gi_K3o7I"/>
    <hyperlink ref="D18" r:id="rId14" display="https://arxiv.org/abs/2212.08073"/>
    <hyperlink ref="D19" r:id="rId15" display="https://www.anthropic.com/claude-model-card"/>
    <hyperlink ref="D20" r:id="rId16" display="https://www.anthropic.com/news/announcing-our-updated-responsible-scaling-policy"/>
    <hyperlink ref="D21" r:id="rId17" display="https://www.youtube.com/watch?v=2MBJOuVq380"/>
    <hyperlink ref="D22" r:id="rId18" display="https://aisafetyfundamentals.com/"/>
    <hyperlink ref="D23" r:id="rId19" display="https://github.com/anthropics/anthropic-cookbook"/>
    <hyperlink ref="D24" r:id="rId20" display="https://github.com/anthropics/anthropic-sdk-python"/>
    <hyperlink ref="D25" r:id="rId21" display="https://github.com/modelcontextprotocol/specification"/>
    <hyperlink ref="D26" r:id="rId22" display="https://www.youtube.com/playlist?list=PL1T8fO7ArWleyIqOy37OVXsP4hFXymdOZ"/>
    <hyperlink ref="D27" r:id="rId23" display="https://cloud.google.com/vertex-ai/generative-ai/docs/partner-models/use-claude"/>
    <hyperlink ref="D28" r:id="rId24" display="https://ocw.mit.edu/courses/6-s897-machine-learning-for-healthcare-spring-2019/"/>
    <hyperlink ref="D29" r:id="rId25" display="https://claude.com/solutions/healthcare"/>
    <hyperlink ref="D30" r:id="rId26" display="https://www.hhs.gov/hipaa/for-professionals/privacy/guidance/hipaa-online-resources/index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</cols>
  <sheetData>
    <row r="1" customFormat="false" ht="36" hidden="false" customHeight="true" outlineLevel="0" collapsed="false">
      <c r="A1" s="2" t="s">
        <v>261</v>
      </c>
      <c r="B1" s="2"/>
      <c r="C1" s="2"/>
      <c r="D1" s="2"/>
      <c r="E1" s="2"/>
      <c r="F1" s="2"/>
    </row>
    <row r="3" customFormat="false" ht="17.25" hidden="false" customHeight="true" outlineLevel="0" collapsed="false">
      <c r="A3" s="75" t="s">
        <v>262</v>
      </c>
      <c r="B3" s="76" t="n">
        <f aca="false">COUNTA('📚 Study Plan'!A5:A34)</f>
        <v>30</v>
      </c>
    </row>
    <row r="5" customFormat="false" ht="17.25" hidden="false" customHeight="true" outlineLevel="0" collapsed="false">
      <c r="A5" s="77" t="s">
        <v>263</v>
      </c>
      <c r="B5" s="78" t="n">
        <f aca="false">COUNTIF('📚 Study Plan'!I5:I34,"Completed ✅")</f>
        <v>0</v>
      </c>
    </row>
    <row r="7" customFormat="false" ht="17.25" hidden="false" customHeight="true" outlineLevel="0" collapsed="false">
      <c r="A7" s="79" t="s">
        <v>264</v>
      </c>
      <c r="B7" s="80" t="n">
        <f aca="false">COUNTIF('📚 Study Plan'!I5:I34,"In Progress 🔄")</f>
        <v>0</v>
      </c>
    </row>
    <row r="9" customFormat="false" ht="17.25" hidden="false" customHeight="true" outlineLevel="0" collapsed="false">
      <c r="A9" s="81" t="s">
        <v>21</v>
      </c>
      <c r="B9" s="82" t="n">
        <f aca="false">COUNTIF('📚 Study Plan'!I5:I34,"Not Started ⬜")</f>
        <v>30</v>
      </c>
    </row>
    <row r="11" customFormat="false" ht="17.25" hidden="false" customHeight="true" outlineLevel="0" collapsed="false">
      <c r="A11" s="83" t="s">
        <v>265</v>
      </c>
      <c r="B11" s="84" t="n">
        <f aca="false">SUM('📚 Study Plan'!G5:G34)</f>
        <v>151</v>
      </c>
    </row>
    <row r="13" customFormat="false" ht="17.25" hidden="false" customHeight="true" outlineLevel="0" collapsed="false">
      <c r="A13" s="85" t="s">
        <v>266</v>
      </c>
      <c r="B13" s="86" t="n">
        <f aca="false">IFERROR(COUNTIF('📚 Study Plan'!I5:I34,"Completed ✅")/COUNTA('📚 Study Plan'!A5:A34),0)</f>
        <v>0</v>
      </c>
    </row>
    <row r="15" customFormat="false" ht="31.5" hidden="false" customHeight="true" outlineLevel="0" collapsed="false">
      <c r="A15" s="87" t="s">
        <v>267</v>
      </c>
      <c r="B15" s="87"/>
      <c r="C15" s="87"/>
      <c r="D15" s="87"/>
      <c r="E15" s="87"/>
      <c r="F15" s="87"/>
    </row>
  </sheetData>
  <mergeCells count="2">
    <mergeCell ref="A1:F1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2026-08-08T00:05:15Z</dcterms:created>
  <dc:creator>openpyxl</dc:creator>
  <dc:description/>
  <dc:language>en-US</dc:language>
  <cp:lastModifiedBy/>
  <dcterms:modified xsi:type="dcterms:W3CDTF">2026-08-08T00:10:24Z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